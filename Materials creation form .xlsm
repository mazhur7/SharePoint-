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SharePoint\"/>
    </mc:Choice>
  </mc:AlternateContent>
  <xr:revisionPtr revIDLastSave="0" documentId="13_ncr:1_{C69D4C77-FE9B-4BF5-B78F-CC114585C7AD}" xr6:coauthVersionLast="45" xr6:coauthVersionMax="45" xr10:uidLastSave="{00000000-0000-0000-0000-000000000000}"/>
  <bookViews>
    <workbookView xWindow="-120" yWindow="-120" windowWidth="29040" windowHeight="15840" tabRatio="486" firstSheet="14" activeTab="16" xr2:uid="{00000000-000D-0000-FFFF-FFFF00000000}"/>
  </bookViews>
  <sheets>
    <sheet name="Plant" sheetId="6" state="hidden" r:id="rId1"/>
    <sheet name="MatrlGroup" sheetId="5" state="hidden" r:id="rId2"/>
    <sheet name="MRP Profile" sheetId="7" state="hidden" r:id="rId3"/>
    <sheet name="MRP_type" sheetId="8" state="hidden" r:id="rId4"/>
    <sheet name="Valuation Class" sheetId="10" state="hidden" r:id="rId5"/>
    <sheet name="material Class" sheetId="11" state="hidden" r:id="rId6"/>
    <sheet name="Purch Group" sheetId="12" state="hidden" r:id="rId7"/>
    <sheet name="MRP Group" sheetId="13" state="hidden" r:id="rId8"/>
    <sheet name="Storage Location" sheetId="14" state="hidden" r:id="rId9"/>
    <sheet name="baseUoM" sheetId="15" state="hidden" r:id="rId10"/>
    <sheet name="Material Type" sheetId="16" state="hidden" r:id="rId11"/>
    <sheet name="MD State" sheetId="17" state="hidden" r:id="rId12"/>
    <sheet name="New Plant" sheetId="18" state="hidden" r:id="rId13"/>
    <sheet name="FORM for Plant" sheetId="19" state="hidden" r:id="rId14"/>
    <sheet name="Materials Form" sheetId="22" r:id="rId15"/>
    <sheet name="List" sheetId="23" r:id="rId16"/>
    <sheet name="Materials Form (2)" sheetId="24" r:id="rId17"/>
  </sheets>
  <definedNames>
    <definedName name="cantry2" localSheetId="16">State[#All]</definedName>
    <definedName name="cantry2">State[#All]</definedName>
    <definedName name="CantryList" localSheetId="16">Cantry[Cantry]</definedName>
    <definedName name="CantryList">Cantry[Cantry]</definedName>
    <definedName name="LocationCodeListe" localSheetId="16">LocationCode[Location Code]</definedName>
    <definedName name="LocationCodeListe">LocationCode[Location Code]</definedName>
    <definedName name="MatirialType_list" localSheetId="16">Material_Type[Material Type]</definedName>
    <definedName name="MatirialType_list">Material_Type[Material Type]</definedName>
    <definedName name="PlantList" localSheetId="16">Plant[Combine Plant Name]</definedName>
    <definedName name="PlantList">Plant[Combine Plant Name]</definedName>
    <definedName name="ProvCode" localSheetId="16">Province[ProvCode]</definedName>
    <definedName name="ProvCode">Province[ProvCode]</definedName>
    <definedName name="ProvinceList" localSheetId="16">Province[Name],Province[Abbr]</definedName>
    <definedName name="ProvinceList">Province[Name],Province[Abbr]</definedName>
    <definedName name="regionnumber2" localSheetId="16">Province[Name],Province[CIE]</definedName>
    <definedName name="regionnumber2">Province[Name],Province[CIE]</definedName>
    <definedName name="StateList" localSheetId="16">State[Name]</definedName>
    <definedName name="StateList">State[Name]</definedName>
    <definedName name="StateList2" localSheetId="16">State[#All]</definedName>
    <definedName name="StateList2">State[#All]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_8448eb43-b2c6-40cf-b1ff-5ea71b2e1bc8" name="Table1" connection="Query - 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5" i="24" l="1"/>
  <c r="U48" i="24" l="1"/>
  <c r="U46" i="24"/>
  <c r="U37" i="24"/>
  <c r="H11" i="22" l="1"/>
  <c r="O11" i="22" s="1"/>
  <c r="U26" i="22" s="1"/>
  <c r="U32" i="22"/>
  <c r="U31" i="22"/>
  <c r="U29" i="22"/>
  <c r="U28" i="22"/>
  <c r="U27" i="22"/>
  <c r="U24" i="22"/>
  <c r="U23" i="22"/>
  <c r="U64" i="24"/>
  <c r="V64" i="24" s="1"/>
  <c r="U63" i="24"/>
  <c r="V63" i="24" s="1"/>
  <c r="U54" i="24"/>
  <c r="V54" i="24" s="1"/>
  <c r="U53" i="24"/>
  <c r="V53" i="24" s="1"/>
  <c r="U49" i="24"/>
  <c r="V48" i="24"/>
  <c r="V46" i="24"/>
  <c r="U43" i="24"/>
  <c r="U42" i="24"/>
  <c r="U41" i="24"/>
  <c r="U39" i="24"/>
  <c r="U38" i="24"/>
  <c r="U36" i="24"/>
  <c r="U35" i="24"/>
  <c r="U33" i="22"/>
  <c r="W47" i="24" l="1"/>
  <c r="X47" i="24" s="1"/>
  <c r="V49" i="24"/>
  <c r="W23" i="22"/>
  <c r="X23" i="22" s="1"/>
  <c r="V26" i="22" s="1"/>
  <c r="W35" i="24"/>
  <c r="X35" i="24" s="1"/>
  <c r="V36" i="24" s="1"/>
  <c r="V35" i="24" l="1"/>
  <c r="V41" i="24"/>
  <c r="V38" i="24"/>
  <c r="V43" i="24"/>
  <c r="V37" i="24"/>
  <c r="V42" i="24"/>
  <c r="V39" i="24"/>
  <c r="V24" i="22"/>
  <c r="V23" i="22"/>
  <c r="V25" i="22"/>
  <c r="V27" i="22"/>
  <c r="V29" i="22"/>
  <c r="V30" i="22"/>
  <c r="V31" i="22"/>
  <c r="F2" i="17" l="1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E2" i="19" l="1"/>
  <c r="D22" i="19"/>
  <c r="D27" i="19"/>
  <c r="D16" i="19" l="1"/>
  <c r="E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Maryna Zhuravlova</author>
  </authors>
  <commentList>
    <comment ref="M10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Maryna Zhuravlova: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6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if [State] like "  ",
list</t>
        </r>
      </text>
    </comment>
    <comment ref="P33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 xml:space="preserve"> [country code] [area code] xxx-xxxx *</t>
        </r>
      </text>
    </comment>
    <comment ref="M4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 xml:space="preserve">=[Location Code] &amp; [Type of mater…] &amp; &amp; " - " &amp; [City] &amp; "(" &amp; [Location Code] &amp; ")"
</t>
        </r>
      </text>
    </comment>
    <comment ref="Q45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IF ([State] = " ", 
IF([Location Code]=" ",left(11,4)))</t>
        </r>
      </text>
    </comment>
    <comment ref="M48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[City] &amp; "(" &amp; [Storage Location Number] &amp;")"</t>
        </r>
      </text>
    </comment>
    <comment ref="P61" authorId="0" shapeId="0" xr:uid="{00000000-0006-0000-0D00-000007000000}">
      <text>
        <r>
          <rPr>
            <b/>
            <sz val="9"/>
            <color indexed="81"/>
            <rFont val="Tahoma"/>
            <family val="2"/>
          </rPr>
          <t xml:space="preserve"> [country code] [area code] xxx-xxxx *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- Table1" description="Connection to the 'Table1' query in the workbook." type="100" refreshedVersion="6" minRefreshableVersion="5">
    <extLst>
      <ext xmlns:x15="http://schemas.microsoft.com/office/spreadsheetml/2010/11/main" uri="{DE250136-89BD-433C-8126-D09CA5730AF9}">
        <x15:connection id="c73730ca-5ec4-4de1-a8a5-5165184811e1">
          <x15:oledbPr connection="Provider=Microsoft.Mashup.OleDb.1;Data Source=$Workbook$;Location=Table1;Extended Properties=&quot;&quot;">
            <x15:dbTables>
              <x15:dbTable name="Table1"/>
            </x15:dbTables>
          </x15:oledbPr>
        </x15:connection>
      </ext>
    </extLst>
  </connection>
  <connection id="2" xr16:uid="{00000000-0015-0000-FFFF-FFFF01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<sst xmlns="http://schemas.openxmlformats.org/spreadsheetml/2006/main" count="3905" uniqueCount="3455">
  <si>
    <t>MRP Group</t>
  </si>
  <si>
    <t>Y1  - CN Manual ROP w/ext no surplus</t>
  </si>
  <si>
    <t>0001 - In-hse prod. w/o indpt reqmts (initial)</t>
  </si>
  <si>
    <t>0002 - In-house prod. with PIR, gross reqrmnts</t>
  </si>
  <si>
    <t>0003 - In-house prod. with PIR, net reqrmnts</t>
  </si>
  <si>
    <t>Y5  - CN Auto ROP TICF w/ext no surp</t>
  </si>
  <si>
    <t>0004 - Car Planning Strategy 59</t>
  </si>
  <si>
    <t>Y8  - CN Auto ROP TICF no ext/no sur</t>
  </si>
  <si>
    <t>Z1  - CN Manual Reorder Pt w/ext req</t>
  </si>
  <si>
    <t>PS01  - Protection Stock (Z3) w/ Safety Stk of ?</t>
  </si>
  <si>
    <t>Z2  - CN Autom.Reorder Pt w/ext req.</t>
  </si>
  <si>
    <t>Z3  - CN (Requirement Coverage Only)</t>
  </si>
  <si>
    <t>Z5  - CN Auto.Reorder TICF w/ext req</t>
  </si>
  <si>
    <t>Z7  - CN Autom.Reorder Pt no ext req</t>
  </si>
  <si>
    <t>Z8  - CN Auto.ReorderTICF no ext req</t>
  </si>
  <si>
    <t>Z8    - General - Non-Rolling Stock - Forecasted</t>
  </si>
  <si>
    <t>FLEET2030 - Other Eqpt No Opertr</t>
  </si>
  <si>
    <t>ITMDL1000 - Intermodal Equipment</t>
  </si>
  <si>
    <t>ITMDL9000 - Intmdl SVC/Contracts</t>
  </si>
  <si>
    <t>SIGNA3040 - Radio - Off Hardware</t>
  </si>
  <si>
    <t>SIGNA5010 - Signals - Test Equip</t>
  </si>
  <si>
    <t>SIGNA9000 - Signals SVC/Contract</t>
  </si>
  <si>
    <t>1000  BC South-West (1000)</t>
  </si>
  <si>
    <t>1001  CN Loco Fuel (1001)</t>
  </si>
  <si>
    <t>1005  CN Thorton Car (1005)</t>
  </si>
  <si>
    <t>1010  BC South-East (1010)</t>
  </si>
  <si>
    <t>1020  BC North Pr. George (1020)</t>
  </si>
  <si>
    <t>1021  BC Pr. George Motive Power (1021)</t>
  </si>
  <si>
    <t>1025  BC Prince George Car Shop (1025)</t>
  </si>
  <si>
    <t>1030  BC Prince George WhShop (1030)</t>
  </si>
  <si>
    <t>1040  BC Pr George Wrk Equip Shop (1040)</t>
  </si>
  <si>
    <t>1041  BC Kamloops Wrk Equip Shop (1041)</t>
  </si>
  <si>
    <t>1050  Smithers DTL  (1050)</t>
  </si>
  <si>
    <t>1051  Valemont DTL  (1051)</t>
  </si>
  <si>
    <t>1052  Roberts Bank DTL (1052)</t>
  </si>
  <si>
    <t>1053  Vernon DTL (1053)</t>
  </si>
  <si>
    <t>1054  BC North Ft St-John Fuel(1054)</t>
  </si>
  <si>
    <t>1055  NorthVancouver DTL(1055)</t>
  </si>
  <si>
    <t>1056  Dawson Creek DTL (1056)</t>
  </si>
  <si>
    <t>1057  Quesnel DTL (1057)</t>
  </si>
  <si>
    <t>1058  Fort St. James DTL (1058)</t>
  </si>
  <si>
    <t>1059  Mackenzie DTL(1059)</t>
  </si>
  <si>
    <t>1060  Pemberton DTL (1060)</t>
  </si>
  <si>
    <t>1061  Lillooet DTL (1061)</t>
  </si>
  <si>
    <t>1062  Fort Nelson DTL(1062)</t>
  </si>
  <si>
    <t>1063  Exeter DTL (1063)</t>
  </si>
  <si>
    <t>1064  Prince Rupert DTL (1064)</t>
  </si>
  <si>
    <t>1065  Williams Lake DTL (1065)</t>
  </si>
  <si>
    <t>1066  Ridley Island DTL (1066)</t>
  </si>
  <si>
    <t>1070  Track Suprv-Vancouver (1070)</t>
  </si>
  <si>
    <t>1071  Track Suprv-Yale (1071)</t>
  </si>
  <si>
    <t>1072  Track Suprv-Ashcroft (1072)</t>
  </si>
  <si>
    <t>1073  Track Suprv-Clearwater (1073)</t>
  </si>
  <si>
    <t>1074  Track Suprv-Okan/Lumby (1074)</t>
  </si>
  <si>
    <t>1075  Rail - Squamish (1075)</t>
  </si>
  <si>
    <t>1076  Track Suprv-Squamish (1076)</t>
  </si>
  <si>
    <t>1077  Trk Supvr-Pr. George (1077)</t>
  </si>
  <si>
    <t>1080  BColumbia Ties (1080)</t>
  </si>
  <si>
    <t>1081  Trk Supvr - BULKLEY (1081)</t>
  </si>
  <si>
    <t>1082  Trk Supvr-SKEENA/KITIMAT(1082)</t>
  </si>
  <si>
    <t>1083  Track Supvr - NECHAKO (1083)</t>
  </si>
  <si>
    <t>1084  Track Suprv-Fraser (1084)</t>
  </si>
  <si>
    <t>1085  Track Supvr - TELKWA (1085)</t>
  </si>
  <si>
    <t>1087  TS-FtNelsonFtStJohn (1087)</t>
  </si>
  <si>
    <t>1088  TS-ChetwyndStuartTumbler(1088)</t>
  </si>
  <si>
    <t>1089  TS-ChetwyndMackenzieDawson(1089)</t>
  </si>
  <si>
    <t>1090  BColumbia Ballast Plt (1090)</t>
  </si>
  <si>
    <t>1096  B&amp;S Kamloops(1096)</t>
  </si>
  <si>
    <t>1099  BColumbia Project Stock (1099)</t>
  </si>
  <si>
    <t>1100  AB Walker  Yard Diesel (1100)</t>
  </si>
  <si>
    <t>1105  AB Walker  Yard Car (1105)</t>
  </si>
  <si>
    <t>1106  AB Bissell Diesel Fuel (1106)</t>
  </si>
  <si>
    <t>1110  Work Equip Edmonton (1110)</t>
  </si>
  <si>
    <t>1115  AB Calgary Yard Car (1115)</t>
  </si>
  <si>
    <t>1140  New Sarepta DTL (1140)</t>
  </si>
  <si>
    <t>1141  Ram River DTL (1141)</t>
  </si>
  <si>
    <t>1142  Strachan DTL (1142)</t>
  </si>
  <si>
    <t>1150  Scotford DTL (1150)</t>
  </si>
  <si>
    <t>1151  Grande Prairie DTL(1151)</t>
  </si>
  <si>
    <t>1152  Red Deer DTL (1152)</t>
  </si>
  <si>
    <t>1153  Hinton DTL (1153)</t>
  </si>
  <si>
    <t>1154  Mirror DTL (1154)</t>
  </si>
  <si>
    <t>1155  Holloway DTL(1155)</t>
  </si>
  <si>
    <t>1156  Swan Landing DTL(1156)</t>
  </si>
  <si>
    <t>1157  Wainwright DTL (1157)</t>
  </si>
  <si>
    <t>1158  Vermillion DTL (1158)</t>
  </si>
  <si>
    <t>1159  Obed DTL (1159)</t>
  </si>
  <si>
    <t>1160  Lac La Biche DTL (1160)</t>
  </si>
  <si>
    <t>1161  Fort McMurray DTL (1161)</t>
  </si>
  <si>
    <t>1162  Boyle DTL (1162)</t>
  </si>
  <si>
    <t>1163  Conklin DTL (1163)</t>
  </si>
  <si>
    <t>1164  McLennan DTL (1164)</t>
  </si>
  <si>
    <t>1165  Roma Jct DTL (1165)</t>
  </si>
  <si>
    <t>1166  Smith DTL (1166)</t>
  </si>
  <si>
    <t>1167  Viking DTL (1167)</t>
  </si>
  <si>
    <t>1168  Winniandy DTL (1168)</t>
  </si>
  <si>
    <t>1170  Track Suprv-Albreda (1170)</t>
  </si>
  <si>
    <t>1171  Track Suprv-West Edson (1171)</t>
  </si>
  <si>
    <t>1172  Track Suprv-East Edson (1172)</t>
  </si>
  <si>
    <t>1173  TS Foothills Mtn Park (1173)</t>
  </si>
  <si>
    <t>1174  Track Suprv-Sangudo/West(1174)</t>
  </si>
  <si>
    <t>1175  Track Suprv-Lac La Biche(1175)</t>
  </si>
  <si>
    <t>1176  Track Suprv-Mann/Meander(1176)</t>
  </si>
  <si>
    <t>1177  Tie and Rail Grande Cache</t>
  </si>
  <si>
    <t>1181  Track Suprv-Calgary (1181)</t>
  </si>
  <si>
    <t>1182  TS-Camrose Braz Alliance(1182)</t>
  </si>
  <si>
    <t>1183  TS - Vegreville Scotford(1183)</t>
  </si>
  <si>
    <t>1184  Track Spv Grande Prairie(1184)</t>
  </si>
  <si>
    <t>1185  Track Suprv-Edm Trm (1185)</t>
  </si>
  <si>
    <t>1186  Track Suprv- Peace River(1186)</t>
  </si>
  <si>
    <t>1187  TS Blackfoot (1187)</t>
  </si>
  <si>
    <t>1189  Track Suprv-W-Wainwright(1189)</t>
  </si>
  <si>
    <t>1190  Alberta Ballast Plant (1190)</t>
  </si>
  <si>
    <t>1195  Alberta Spec Projects (1195)</t>
  </si>
  <si>
    <t>1196  B&amp;S Alberta South(1196)</t>
  </si>
  <si>
    <t>1197  B&amp;S Alberta North(1197)</t>
  </si>
  <si>
    <t>1200  SK Saskatoon MPCE (1200)</t>
  </si>
  <si>
    <t>1205  SK Melville MPCE (1205)</t>
  </si>
  <si>
    <t>1250  Biggar DTL  (1250)</t>
  </si>
  <si>
    <t>1251  Humboldt DTL (1251)</t>
  </si>
  <si>
    <t>1252  Lloydminster DTL (1252)</t>
  </si>
  <si>
    <t>1253  Unity DTL (1253)</t>
  </si>
  <si>
    <t>1254  Raymore DTL  (1254)</t>
  </si>
  <si>
    <t>1270  Track Suprv-E-Wainwright(1270)</t>
  </si>
  <si>
    <t>1271  Track Suprv-Rosetown (1271)</t>
  </si>
  <si>
    <t>1272  Track Suprv-Saskatoon (1272)</t>
  </si>
  <si>
    <t>1274  Track Suprv-N Battleford(1274)</t>
  </si>
  <si>
    <t>1281  Track Suprv-Regina (1281)</t>
  </si>
  <si>
    <t>1282  Track Suprv-W-Melville (1282)</t>
  </si>
  <si>
    <t>1284  Track Suprv-Rivers West (1284)</t>
  </si>
  <si>
    <t>1286  Track Suprv-Hudson Bay (1286)</t>
  </si>
  <si>
    <t>1290  SK Ballast Plant (1290)</t>
  </si>
  <si>
    <t>1300  MB Symington Yard (1300)</t>
  </si>
  <si>
    <t>1305  MB Symington Yard  Car (1305)</t>
  </si>
  <si>
    <t>1307  MB Symington Yard CF (1307)</t>
  </si>
  <si>
    <t>1308  Safetran Canada Inc. (1308)</t>
  </si>
  <si>
    <t>1310  MB Air Brake Shop (1310)</t>
  </si>
  <si>
    <t>1315  MB Traction Motor Shop (1315)</t>
  </si>
  <si>
    <t>1320  MB Motive Power Shop (1320)</t>
  </si>
  <si>
    <t>1325  MB Car Shop (1325)</t>
  </si>
  <si>
    <t>1330  MB Wheel Shop (1330)</t>
  </si>
  <si>
    <t>1336  Transcona Yard  (1336)</t>
  </si>
  <si>
    <t>1340  MB Work Equipment (1340)</t>
  </si>
  <si>
    <t>1350  MB Railyard (1350)</t>
  </si>
  <si>
    <t>1351  Swan River DTL (1351)</t>
  </si>
  <si>
    <t>1355  Western S&amp;C (1355)</t>
  </si>
  <si>
    <t>1360  Western OTM Material (1360)</t>
  </si>
  <si>
    <t>1361  The Pas DTL Fuel (1361)</t>
  </si>
  <si>
    <t>1362  OTM Minor Bulk West (1362)</t>
  </si>
  <si>
    <t>1370  Track Suprv-Dauphin (1370)</t>
  </si>
  <si>
    <t>1371  Track Suprv-Rivers East (1371)</t>
  </si>
  <si>
    <t>1372  Track Suprv-Brandon (1372)</t>
  </si>
  <si>
    <t>1375  Track Suprv-SymingtonYrd(1375)</t>
  </si>
  <si>
    <t>1382  Track Suprv-Sprague (1382)</t>
  </si>
  <si>
    <t>1383  Track Suprv-Redditt (1383)</t>
  </si>
  <si>
    <t>1390  MB Ballast Plant (1390)</t>
  </si>
  <si>
    <t>1395  B&amp;S Manitoba (1395)</t>
  </si>
  <si>
    <t>1400  ON MacYard Motive Power (1400)</t>
  </si>
  <si>
    <t>1401  Track Suprv-Ottawa (1401)</t>
  </si>
  <si>
    <t>1402  ON MacYard ULSD (1402)</t>
  </si>
  <si>
    <t>1405  ON MacYard East Repair (1405)</t>
  </si>
  <si>
    <t>1407  ON MacYard Blue Tower (1407)</t>
  </si>
  <si>
    <t>1408  Safetran Canada Inc. (1408)</t>
  </si>
  <si>
    <t>1410  ON MacYard Heavy Repair (1410)</t>
  </si>
  <si>
    <t>1411  Fleet SVCS CDA (1411)</t>
  </si>
  <si>
    <t>1420  ON Windsor Plant (1420)</t>
  </si>
  <si>
    <t>1421  ON Sarnia Plant (1421)</t>
  </si>
  <si>
    <t>1422  ON Brampton (1422)</t>
  </si>
  <si>
    <t>1423  ON Oakville (1423)</t>
  </si>
  <si>
    <t>1424  ON Belleville (1424)</t>
  </si>
  <si>
    <t>1425  ON South Plant (1425)</t>
  </si>
  <si>
    <t>1426  ON London (1426)</t>
  </si>
  <si>
    <t>1429  ON North Plant (1429)</t>
  </si>
  <si>
    <t>1430  ON North Plant (1430)</t>
  </si>
  <si>
    <t>1431  ON Mac Yard WhShop (1431)</t>
  </si>
  <si>
    <t>1435  ON Thunder Bay (1435)</t>
  </si>
  <si>
    <t>1440  ON Hornepayne Diesel (1440)</t>
  </si>
  <si>
    <t>1450  Brampton B.I.T. DTL Fuel(1450)</t>
  </si>
  <si>
    <t>1451  Tor-Malport-Eco DTL Fuel(1451)</t>
  </si>
  <si>
    <t>1452  DonYard DTL (1452)</t>
  </si>
  <si>
    <t>1453  Talbotville DTL (1453)</t>
  </si>
  <si>
    <t>1454  Oshawa DTL (1454)</t>
  </si>
  <si>
    <t>1455  Neebing DTL (1455)</t>
  </si>
  <si>
    <t>1456  Oakville DTL (1456)</t>
  </si>
  <si>
    <t>1457  Hamilton DTL  (1457)</t>
  </si>
  <si>
    <t>1458  Chatham DTL (1458)</t>
  </si>
  <si>
    <t>1459  Kenora DTL  (1459)</t>
  </si>
  <si>
    <t>1460  Brockville DTL (1460)</t>
  </si>
  <si>
    <t>1461  Vankleek Hill DTL (1461)</t>
  </si>
  <si>
    <t>1462  Walkley DTL (1462)</t>
  </si>
  <si>
    <t>1463  Huntsville DTL(1463)</t>
  </si>
  <si>
    <t>1464  Cambridge DTL (1464)</t>
  </si>
  <si>
    <t>1465  Fort Frances DTL (1465)</t>
  </si>
  <si>
    <t>1466  Port Robinson  DTL(1466)</t>
  </si>
  <si>
    <t>1467  Mimico Yard  DTL (1467)</t>
  </si>
  <si>
    <t>1468  Kitchener DTL (1468)</t>
  </si>
  <si>
    <t>1470  Track Suprv-S-Lookout (1470)</t>
  </si>
  <si>
    <t>1472  Track Suprv-Thunder Bay (1472)</t>
  </si>
  <si>
    <t>1473  Track Suprv-Longlac/Nakina (1473)</t>
  </si>
  <si>
    <t>1475  Track Suprv-Hornepayne (1475)</t>
  </si>
  <si>
    <t>1476  Track Supvr - Capreol (1476)</t>
  </si>
  <si>
    <t>1477  Track Supvr - Sudbury (1477)</t>
  </si>
  <si>
    <t>1478  Track Suprv-Washago (1478)</t>
  </si>
  <si>
    <t>1480  B&amp;S Ontario (1480)</t>
  </si>
  <si>
    <t>1481  Track Suprv-Hagersville (1481)</t>
  </si>
  <si>
    <t>1482  Track Suprv-Sarnia (1482)</t>
  </si>
  <si>
    <t>1483  London DTL (1483)</t>
  </si>
  <si>
    <t>1484  Track Supvr Guelph (1484)</t>
  </si>
  <si>
    <t>1485  Track Suprv-Brantford/London(1485)</t>
  </si>
  <si>
    <t>1486  Track Suprv-Niagara (1486)</t>
  </si>
  <si>
    <t>1487  OTM Minor Bulk East (1487)</t>
  </si>
  <si>
    <t>1488  Track Suprv-Don Yard (1488)</t>
  </si>
  <si>
    <t>1489  Track Suprv-MacMillanYrd(1489)</t>
  </si>
  <si>
    <t>1490  ON Ballast Plant (1490)</t>
  </si>
  <si>
    <t>1491  Track Suprv-Malport (1491)</t>
  </si>
  <si>
    <t>1492  Track Suprv-Belleville (1492)</t>
  </si>
  <si>
    <t>1493  Track Suprv-Kingston (1493)</t>
  </si>
  <si>
    <t>1494  1494-Eastern OTM Montreal</t>
  </si>
  <si>
    <t>1495  ON Rail Scrap Sorting (1495)</t>
  </si>
  <si>
    <t>1496  Eastern S&amp;C (1496)</t>
  </si>
  <si>
    <t>1497  1497 Go Transit Track Material</t>
  </si>
  <si>
    <t>1498  1498 VIA Material</t>
  </si>
  <si>
    <t>1500  Taschereau Car (1500)</t>
  </si>
  <si>
    <t>1501  Garneau Car Material (1501)</t>
  </si>
  <si>
    <t>1502  Mont-Joli Mechanical (1502)</t>
  </si>
  <si>
    <t>1503  CDN Locomotive Contract (1503)</t>
  </si>
  <si>
    <t>1505  CDN Locomotive Contract (1503)</t>
  </si>
  <si>
    <t>1510  Quebec Charny (1510)</t>
  </si>
  <si>
    <t>1520  Quebec Montrain Plt (1520)</t>
  </si>
  <si>
    <t>1550  Turcot Yard DTL(1550)</t>
  </si>
  <si>
    <t>1551  St-Lambert DTL  (1551)</t>
  </si>
  <si>
    <t>1552  Riv.des Prairies DTL(1552)</t>
  </si>
  <si>
    <t>1553  Joliette DTL (1553)</t>
  </si>
  <si>
    <t>1554  Coteau DTL (1554)</t>
  </si>
  <si>
    <t>1555  Contrecoeur DTL (1555)</t>
  </si>
  <si>
    <t>1556  Bécancour DTL (1556)</t>
  </si>
  <si>
    <t>1557  Varennes DTL (1557)</t>
  </si>
  <si>
    <t>1558  Port of Montreal DTL (1558)</t>
  </si>
  <si>
    <t>1559  St. Hyacinthe DTL (1559)</t>
  </si>
  <si>
    <t>1560  Joffre DTL (1560)</t>
  </si>
  <si>
    <t>1561  Ste-Foy DTL  (1561)</t>
  </si>
  <si>
    <t>1562  Fitzpatrick DTL (1562)</t>
  </si>
  <si>
    <t>1563  Limoilou DTL(1563)</t>
  </si>
  <si>
    <t>1564  Chibougamau DTL (1564)</t>
  </si>
  <si>
    <t>1565  B&amp;S Quebec South (1565)</t>
  </si>
  <si>
    <t>1566  La Ferme near Amos DTL (1566)</t>
  </si>
  <si>
    <t>1567  Aston Jct DTL (1567)</t>
  </si>
  <si>
    <t>1568  B&amp;S Quebec North (1568)</t>
  </si>
  <si>
    <t>1572  Track Suprv-Tasch Yrd (1572)</t>
  </si>
  <si>
    <t>1573  Track Suprv-Turcotte (1573)</t>
  </si>
  <si>
    <t>1574  Track Suprv-Riv.d.Prair (1574)</t>
  </si>
  <si>
    <t>1575  Track Suprv-St-Lambert (1575)</t>
  </si>
  <si>
    <t>1576  TS - Drummondville (1576)</t>
  </si>
  <si>
    <t>1580  Quebec Tie Plant (1580)</t>
  </si>
  <si>
    <t>1581  Track Suprv-Senneterre (1581)</t>
  </si>
  <si>
    <t>1582  Track Suprv-Parent (1582)</t>
  </si>
  <si>
    <t>1584  Track Suprv-Garneau (1584)</t>
  </si>
  <si>
    <t>1585  Track Suprv-Chambord (1585)</t>
  </si>
  <si>
    <t>1586  TS - Joffre (1586)</t>
  </si>
  <si>
    <t>1587  Production Est (1587)</t>
  </si>
  <si>
    <t>1588  TS - Mont Joli (1588)</t>
  </si>
  <si>
    <t>1590  Quebec Ballast (1590)</t>
  </si>
  <si>
    <t>1600  Suprv Supply Mgmnt (1600)</t>
  </si>
  <si>
    <t>1650  Edmundston DTL (1650)</t>
  </si>
  <si>
    <t>1651  Moncton DTL (1651)</t>
  </si>
  <si>
    <t>1652  St John DTL  (1652)</t>
  </si>
  <si>
    <t>1653  Miramichi DTL (1653)</t>
  </si>
  <si>
    <t>1654  Bathurst DTL (1654)</t>
  </si>
  <si>
    <t>1665  Campbellton Mechanical(1665)</t>
  </si>
  <si>
    <t>1666  B&amp;S Atlantic (1666)</t>
  </si>
  <si>
    <t>1671  Track Suprv-W-Napadogan (1671)</t>
  </si>
  <si>
    <t>1673  Track Suprv-Gordon Yrd (1673)</t>
  </si>
  <si>
    <t>1675  Track Suprv-Newcastle (1675)</t>
  </si>
  <si>
    <t>1700  NS Scotia Halifax Area (1700)</t>
  </si>
  <si>
    <t>1750  Dartmouth DTL (1750)</t>
  </si>
  <si>
    <t>1751  Halifax DTL (1751)</t>
  </si>
  <si>
    <t>1770  Track Suprv-Halifax (1770)</t>
  </si>
  <si>
    <t>1780  Supply Mgmt Ties (1780)</t>
  </si>
  <si>
    <t>1790  Maritime Ballast (1790)</t>
  </si>
  <si>
    <t>1850  Hay River DTL (1850)</t>
  </si>
  <si>
    <t>1999  CN Plant Canada Financing Co.</t>
  </si>
  <si>
    <t>2000  Sault Ste Marie Whse (2000)</t>
  </si>
  <si>
    <t>2010  Signal Suprv-Steelton (2010)</t>
  </si>
  <si>
    <t>2050  Hawk Junction DTL (2050)</t>
  </si>
  <si>
    <t>2051  Hearst DTL (2051)</t>
  </si>
  <si>
    <t>2060  B&amp;B Sault Ste Marie (2060)</t>
  </si>
  <si>
    <t>2078  Track Suprv-Steelton (2078)</t>
  </si>
  <si>
    <t>2099  ACR General (2099)</t>
  </si>
  <si>
    <t>2129  WCR General(2129)</t>
  </si>
  <si>
    <t>2198  WCR general(2198)</t>
  </si>
  <si>
    <t>2199  CN Plant US Financing Co.</t>
  </si>
  <si>
    <t>2299  CNR Gneral(2999)</t>
  </si>
  <si>
    <t>2399  CN IT Services (2399)</t>
  </si>
  <si>
    <t>2499  Cogema (2499)</t>
  </si>
  <si>
    <t>2599  CNR Gneral(2599)</t>
  </si>
  <si>
    <t>2699  CNR General(2699)</t>
  </si>
  <si>
    <t>2999  CNR General (2999)</t>
  </si>
  <si>
    <t>3000  Enginehouse Foreman (3000)</t>
  </si>
  <si>
    <t>3001  GTW Loco Fuel (3001)</t>
  </si>
  <si>
    <t>3011  Signal Suprv-Detroit (3011)</t>
  </si>
  <si>
    <t>3030  Battle Creek RIP Trk (3030)</t>
  </si>
  <si>
    <t>3031  Flint RIP Track (3031)</t>
  </si>
  <si>
    <t>3032  Flat Rock RIP Trk (3032)</t>
  </si>
  <si>
    <t>3034  Ferndale RIP(3034)</t>
  </si>
  <si>
    <t>3035  Lansing RIP(3035)</t>
  </si>
  <si>
    <t>3050  Kalamazoo DTL (3050)</t>
  </si>
  <si>
    <t>3051  Port Huron DTL (3051)</t>
  </si>
  <si>
    <t>3052  Hamtramck DTL (3052)</t>
  </si>
  <si>
    <t>3060  B&amp;B Suprv-BattleCrk (3060)</t>
  </si>
  <si>
    <t>3061  Signal Suprv-Battl Crk (3061)</t>
  </si>
  <si>
    <t>3062  Powers DTL (3062)</t>
  </si>
  <si>
    <t>3063  Quinnesec (3063)</t>
  </si>
  <si>
    <t>3064  Griffith DTL (3064)</t>
  </si>
  <si>
    <t>3070  Pontiac Work Equipment</t>
  </si>
  <si>
    <t>3071  Track Suprv-Pontiac (3071)</t>
  </si>
  <si>
    <t>3074  Track Suprv-Flat Rock (3074)</t>
  </si>
  <si>
    <t>3075  Track Suprv - Flint (3075)</t>
  </si>
  <si>
    <t>3076  Track Suprv-BattleCrk (3076)</t>
  </si>
  <si>
    <t>3080  Ties South - GTW (3080)</t>
  </si>
  <si>
    <t>3091  Track Suprv-Valparaiso (3091)</t>
  </si>
  <si>
    <t>3092  Battle Creek DTL (3092)</t>
  </si>
  <si>
    <t>3093  Flint Diesel Fuel (3093)</t>
  </si>
  <si>
    <t>3094  Flat Rock Diesel Fuel (3094)</t>
  </si>
  <si>
    <t>3095  Pontiac Diesel Fuel (3095)</t>
  </si>
  <si>
    <t>3099  GTW General (3099)</t>
  </si>
  <si>
    <t>3150  Toledo DTL  (3150)</t>
  </si>
  <si>
    <t>3199  WCR general(3199)</t>
  </si>
  <si>
    <t>3200  Track Supvr - Virginia (3200)</t>
  </si>
  <si>
    <t>3201  WCR Loco Fuel (3201)</t>
  </si>
  <si>
    <t>3220  Proctor Motive Power (3220)</t>
  </si>
  <si>
    <t>3230  Proctor RIP Track (3230)</t>
  </si>
  <si>
    <t>3250  Two Harbors Warehouse (3250)</t>
  </si>
  <si>
    <t>3251  LTV Mine DTL (3251)</t>
  </si>
  <si>
    <t>3252  Minntac DTL (322)</t>
  </si>
  <si>
    <t>3253  Ranier DTL (3253)</t>
  </si>
  <si>
    <t>3255  Duluth Ore Dock (325)</t>
  </si>
  <si>
    <t>3271  Track Suprv-Proctor (3271)</t>
  </si>
  <si>
    <t>3290  Keenan Diesel Fuel (3290)</t>
  </si>
  <si>
    <t>3299  WCR General(3299)</t>
  </si>
  <si>
    <t>3500  Greenville Warehouse (3500)</t>
  </si>
  <si>
    <t>3501  B&amp;LE Loco Fuel (3501)</t>
  </si>
  <si>
    <t>3550  Conneaut Warehouse (3550)</t>
  </si>
  <si>
    <t>3570  Track Suprv-Albion (3570)</t>
  </si>
  <si>
    <t>3599  B&amp;LE General (3599)</t>
  </si>
  <si>
    <t>3899  WCR General(3899)</t>
  </si>
  <si>
    <t>5002  CN - Storehouse - Joliet</t>
  </si>
  <si>
    <t>5010  Signal  - Joliet (5010)</t>
  </si>
  <si>
    <t>5011  IC Loco Fuel (5011)</t>
  </si>
  <si>
    <t>5030  CN Kirk Yard RIP Track (5030)</t>
  </si>
  <si>
    <t>5050  Whiting DTL (5050)</t>
  </si>
  <si>
    <t>5051  Centrepoint JBBR DTL (5051)</t>
  </si>
  <si>
    <t>5070  Track Suprv - W.Chicago (5070)</t>
  </si>
  <si>
    <t>5071  Track Suprv-Joliet (5071)</t>
  </si>
  <si>
    <t>5072  Track Suprv-Kirk (5072)</t>
  </si>
  <si>
    <t>5090  Joliet Fuel (5090)</t>
  </si>
  <si>
    <t>5091  Kirk Fuel (5091)</t>
  </si>
  <si>
    <t>5099  WC (former EJ&amp;E 5099)</t>
  </si>
  <si>
    <t>5101  Woodcrest Whse  (5101)</t>
  </si>
  <si>
    <t>5103  Centralia Warehouse (5103)</t>
  </si>
  <si>
    <t>5104  IC Contract Shops (5104)</t>
  </si>
  <si>
    <t>5105  Fleet SVCS US (5105)</t>
  </si>
  <si>
    <t>5106  OTM Minor Bulk South (5106)</t>
  </si>
  <si>
    <t>5107  Woodcrest Whse CF (5107)</t>
  </si>
  <si>
    <t>5110  Woodcrest Signal Dept (5110)</t>
  </si>
  <si>
    <t>5111  Signal Suprv-Mattoon (5111)</t>
  </si>
  <si>
    <t>5112  Signal Suprv-Gilman (5112)</t>
  </si>
  <si>
    <t>5114  Signal Super-Carbondale (5114)</t>
  </si>
  <si>
    <t>5125  Glen Yard DTL (5125)</t>
  </si>
  <si>
    <t>5129  Champaign RIP (5129)</t>
  </si>
  <si>
    <t>5130  Decatur RIP Trk (5130)</t>
  </si>
  <si>
    <t>5131  Centralia RIP Trk (5131)</t>
  </si>
  <si>
    <t>5132  Markham RIP Track (5132)</t>
  </si>
  <si>
    <t>5140  Homewood Work Equip (5140)</t>
  </si>
  <si>
    <t>5150  Effingham DTL (5150)</t>
  </si>
  <si>
    <t>5151  Clinton DTL (5151)</t>
  </si>
  <si>
    <t>5152  Decatur DTL(5152)</t>
  </si>
  <si>
    <t>5153  East St Louis DTL (5153)</t>
  </si>
  <si>
    <t>5154  Kankakee DTL (5154)</t>
  </si>
  <si>
    <t>5155  Baldwin DTL (5155)</t>
  </si>
  <si>
    <t>5156  Duquoin DTL (5156)</t>
  </si>
  <si>
    <t>5157  Waukegan DTL (5157)</t>
  </si>
  <si>
    <t>5158  Spaudling DTL (5158)</t>
  </si>
  <si>
    <t>5159  Mt Pulaski DTL (5159)</t>
  </si>
  <si>
    <t>5160  B&amp;B Supv Homewood (5160)</t>
  </si>
  <si>
    <t>5161  Leithton DTL (5161)</t>
  </si>
  <si>
    <t>5162  Roundout DTL (5162)</t>
  </si>
  <si>
    <t>5163  Cairo DTL (5163)</t>
  </si>
  <si>
    <t>5164  Dial DTL (5164)</t>
  </si>
  <si>
    <t>5165  Galatia DTL (5165)</t>
  </si>
  <si>
    <t>5166  Marissa DTL (5166)</t>
  </si>
  <si>
    <t>5167  Sugar Camp DTL (5167)</t>
  </si>
  <si>
    <t>5171  Track Suprv-Glen Yard (5171)</t>
  </si>
  <si>
    <t>5172  Track Suprv-Markham Yd (5172)</t>
  </si>
  <si>
    <t>5173  Track Suprv-Gilman (5173)</t>
  </si>
  <si>
    <t>5175  Track Suprv-Decatur (5175)</t>
  </si>
  <si>
    <t>5176  Track Suprv-Chiles (5176)</t>
  </si>
  <si>
    <t>5177  Track Suprv-Centralia (5177)</t>
  </si>
  <si>
    <t>5178  Track Suprv-Carbondale (5178)</t>
  </si>
  <si>
    <t>5179  Track Suprv-Mattoon (5179)</t>
  </si>
  <si>
    <t>5180  IC TIE Plant (5180)</t>
  </si>
  <si>
    <t>5181  US Rail</t>
  </si>
  <si>
    <t>5190  Homewood Storage Fuel (5190)</t>
  </si>
  <si>
    <t>5191  Champaign Diesel Fuel (5191)</t>
  </si>
  <si>
    <t>5192  Benton Diesel Fuel (5192)</t>
  </si>
  <si>
    <t>5193  Decature Diesel Fuel (5193)</t>
  </si>
  <si>
    <t>5195  B&amp;S Spvr Clinton (5195)</t>
  </si>
  <si>
    <t>5250  Paducah DTL Fuel (5250)</t>
  </si>
  <si>
    <t>5260  B &amp; B Suprv-Paducah (5260)</t>
  </si>
  <si>
    <t>5290  Fulton RIP Trk/Fuel(5290)</t>
  </si>
  <si>
    <t>5300  Memphis Warehouse (5300)</t>
  </si>
  <si>
    <t>5310  Signal Suprv-Memphis (5310)</t>
  </si>
  <si>
    <t>5311  Signal Suprv-Fulton (5311)</t>
  </si>
  <si>
    <t>5340  Memphis Work Equip (5340)</t>
  </si>
  <si>
    <t>5370  Track Suprv-Dyersburg (5370)</t>
  </si>
  <si>
    <t>5371  Track Suprv-Memphis (5371)</t>
  </si>
  <si>
    <t>5390  Memphis Diesel (5390)</t>
  </si>
  <si>
    <t>5400  Jackson Warehouse (5400)</t>
  </si>
  <si>
    <t>5410  Signal Super-Brookhaven (5410)</t>
  </si>
  <si>
    <t>5450  Ferguson DTL (5450)</t>
  </si>
  <si>
    <t>5451  McComb DTL (5451)</t>
  </si>
  <si>
    <t>5452  Magee DTL (5452)</t>
  </si>
  <si>
    <t>5453  Brookhaven DTL (5453)</t>
  </si>
  <si>
    <t>5454  Saratoga DTL (5454)</t>
  </si>
  <si>
    <t>5459  B &amp; B Suprv-Greenwood (5459)</t>
  </si>
  <si>
    <t>5461  B &amp; B Suprv-Hammond La</t>
  </si>
  <si>
    <t>5469  Track Suprv-Jackson (5469)</t>
  </si>
  <si>
    <t>5470  Yazoo City DTL (5470)</t>
  </si>
  <si>
    <t>5471  Track Suprv-Brookhaven (5471)</t>
  </si>
  <si>
    <t>5472  Track Suprv-Hattiesburg (5472)</t>
  </si>
  <si>
    <t>5473  Track Suprv-Greenwood (5473)</t>
  </si>
  <si>
    <t>5490  Jackson Diesel F/LOil (5490)</t>
  </si>
  <si>
    <t>5500  Baton Rouge RIP (5500)</t>
  </si>
  <si>
    <t>5501  New Orleans RIP (5501)</t>
  </si>
  <si>
    <t>5510  Signal Super-Hammond (5510)</t>
  </si>
  <si>
    <t>5550  Geismar DTL Fuel (5550)</t>
  </si>
  <si>
    <t>5551  Bogalusa DTL  (5551)</t>
  </si>
  <si>
    <t>5552  Convent DTL Fuel (5552)</t>
  </si>
  <si>
    <t>5553  Destrehan DTL Fuel (5553)</t>
  </si>
  <si>
    <t>5570  Track Suprv-Hammond (5570)</t>
  </si>
  <si>
    <t>5571  Track Suprv-Baton Rouge (5571)</t>
  </si>
  <si>
    <t>5590  Mays Diesel Fuel (5590)</t>
  </si>
  <si>
    <t>5591  Baton Rouge Diesel Fuel (5591)</t>
  </si>
  <si>
    <t>5600  Mobile Warehouse (5600)</t>
  </si>
  <si>
    <t>5999  ICR General (5999)</t>
  </si>
  <si>
    <t>6100  Waterloo Warehouse (6100)</t>
  </si>
  <si>
    <t>6101  CCP Loco Fuel (6101)</t>
  </si>
  <si>
    <t>6110  Signal Suprv-Waterloo (6110)</t>
  </si>
  <si>
    <t>6130  Council Bluffs RIP Trk (6130)</t>
  </si>
  <si>
    <t>6150  Fort Dodge DTL (6150)</t>
  </si>
  <si>
    <t>6151  Sioux City DTL  (6151)</t>
  </si>
  <si>
    <t>6152  Walford DTL (6152)</t>
  </si>
  <si>
    <t>6153  Cedar Rapids DTL (6153)</t>
  </si>
  <si>
    <t>6154  Manchester DTL (6154)</t>
  </si>
  <si>
    <t>6160  B&amp;B Suprv Waterloo (6160)</t>
  </si>
  <si>
    <t>6166  East St Louis DTL (5153)</t>
  </si>
  <si>
    <t>6170  Track Suprv-Storm Lake (6170)</t>
  </si>
  <si>
    <t>6171  Track Suprv-Waterloo (6171)</t>
  </si>
  <si>
    <t>6172  Track Suprv-Dubuque (6172)</t>
  </si>
  <si>
    <t>6173  Cedar River RR (6173)</t>
  </si>
  <si>
    <t>6190  Waterloo Diesell Fuel (6190)l</t>
  </si>
  <si>
    <t>6270  Track Suprv-Freeport (6270)</t>
  </si>
  <si>
    <t>6290  Hawthorne Diesel Fuel (6290)</t>
  </si>
  <si>
    <t>6299  CCP General (6299)</t>
  </si>
  <si>
    <t>6399  CDR General (6399)</t>
  </si>
  <si>
    <t>6510  ESCANABA FUEL (6510)</t>
  </si>
  <si>
    <t>6550  Escanaba Ore Dock (6550)</t>
  </si>
  <si>
    <t>6599  SSMB General (6599)</t>
  </si>
  <si>
    <t>6600  Fond du Lac Warehouse (6600)</t>
  </si>
  <si>
    <t>6601  Stevens Point Warehouse (6601)</t>
  </si>
  <si>
    <t>6612  Signal Suprv-Stvn Point (6612)</t>
  </si>
  <si>
    <t>6614  GREENBAY FUEL (6614)</t>
  </si>
  <si>
    <t>6640  Fond du Lac Work Equip (6640)</t>
  </si>
  <si>
    <t>6650  Milwaukee DTL (6650)</t>
  </si>
  <si>
    <t>6651  Wausau DTL (6651)</t>
  </si>
  <si>
    <t>6652  Wauzeka DTL (6652)</t>
  </si>
  <si>
    <t>6653  Ripon DTL (6653)</t>
  </si>
  <si>
    <t>6654  West Bend DTL (6654)</t>
  </si>
  <si>
    <t>6655  Neenah DTL (6655)</t>
  </si>
  <si>
    <t>6656  Wisconsin Rapids DTLFuel(6656)</t>
  </si>
  <si>
    <t>6657  Hixton DTL(6657)</t>
  </si>
  <si>
    <t>6658  Birnamwood DTL(6658)</t>
  </si>
  <si>
    <t>6659  Prentice DTL(6659)</t>
  </si>
  <si>
    <t>6660  WC Structures East (6660)</t>
  </si>
  <si>
    <t>6661  WC Structures West (6661)</t>
  </si>
  <si>
    <t>6662  Park Falls DTL (6662)</t>
  </si>
  <si>
    <t>6663  Trout Lake DTL (6663)</t>
  </si>
  <si>
    <t>6664  Mellon DTL (6664)</t>
  </si>
  <si>
    <t>6665  Taylor DTL (6665)</t>
  </si>
  <si>
    <t>6666  Weston DTL (6666)</t>
  </si>
  <si>
    <t>6667  Chippewa Falls DTL (6667)</t>
  </si>
  <si>
    <t>6668  Superior DTL (6668)</t>
  </si>
  <si>
    <t>6669  Ladysmith DTL (6669)</t>
  </si>
  <si>
    <t>6670  Track Suprv-LadySmith (6670)</t>
  </si>
  <si>
    <t>6674  Track Suprv-Owen (6674)</t>
  </si>
  <si>
    <t>6675  DBR Siding DTL (6675)</t>
  </si>
  <si>
    <t>6676  Track Suprv-Stvns Point (6676)</t>
  </si>
  <si>
    <t>6678  WC Track Maintenance (6678)</t>
  </si>
  <si>
    <t>6680  Track Suprv-Appleton (6680)</t>
  </si>
  <si>
    <t>6682  Track Suprv-FDL Yard (6682)</t>
  </si>
  <si>
    <t>6690  WC Direct Fueling (6690)</t>
  </si>
  <si>
    <t>6691  Two Harbors Marine Fuel (6691)</t>
  </si>
  <si>
    <t>6692  Superior Diesel Fuel (6692)</t>
  </si>
  <si>
    <t>6693  Stevens Pt. diesel Fuel (6693)</t>
  </si>
  <si>
    <t>6694  Fond du Lac fuel (6694) PaperT</t>
  </si>
  <si>
    <t>6695  Fond du Lac Diesel fuel (6695)</t>
  </si>
  <si>
    <t>6699  WCR General(6699)</t>
  </si>
  <si>
    <t>6700  Gladstone Warehouse (6700)</t>
  </si>
  <si>
    <t>6750  Ironwood DTL (6750)</t>
  </si>
  <si>
    <t>6751  Ishpeming DTL (6751)</t>
  </si>
  <si>
    <t>6770  Track Suprv-Gladstone (6770)</t>
  </si>
  <si>
    <t>6772  Track Suprv-Ironwood (6772)</t>
  </si>
  <si>
    <t>6810  Schiller Park DTL (6810)</t>
  </si>
  <si>
    <t>6812  S&amp;C JOLIET CF (6812)</t>
  </si>
  <si>
    <t>6899  WCR General (6899)</t>
  </si>
  <si>
    <t>6998  WC Link General (6998)</t>
  </si>
  <si>
    <t>7180  USA Tie Plant (7180)</t>
  </si>
  <si>
    <t>7190  Minnesota Ballast Plt (7190)</t>
  </si>
  <si>
    <t>AMM1000 - Ammunitions</t>
  </si>
  <si>
    <t>BLST1000 - Ballast</t>
  </si>
  <si>
    <t>BLST1010 - Ballast Misc.</t>
  </si>
  <si>
    <t>BRDG1000 - Brdg Struct Concrete</t>
  </si>
  <si>
    <t>BRDG1010 - Brdg Struct Steel</t>
  </si>
  <si>
    <t>BRDG1020 - Brdg Other Parts</t>
  </si>
  <si>
    <t>BRDG9000 - Brdg SVC/Contracts</t>
  </si>
  <si>
    <t>BULK1000 - Aggregate</t>
  </si>
  <si>
    <t>CAR4000 - Freight Draft Gear</t>
  </si>
  <si>
    <t>COMM9040 - Telephony SVC</t>
  </si>
  <si>
    <t>DOCK2010 - Iron Ore</t>
  </si>
  <si>
    <t>DOCK2030 - Coke/Gypsum</t>
  </si>
  <si>
    <t>DOCK2040 - Stone</t>
  </si>
  <si>
    <t>DOCK2050 - Salt/Scrap/Other</t>
  </si>
  <si>
    <t>FLEET1010 - Body (Vehicle)</t>
  </si>
  <si>
    <t>FLEET1020 - Chassis (Vehicle)</t>
  </si>
  <si>
    <t>FLEET1030 - Crane  (Vehicle)</t>
  </si>
  <si>
    <t>FLEET1040 - Hi Rail (Vehicle)</t>
  </si>
  <si>
    <t>FLEET2020 - Vehicle Lease</t>
  </si>
  <si>
    <t>FLEET2040 - Exec Vehicle</t>
  </si>
  <si>
    <t>FLEET9000 - Fleet SVC/Contracts</t>
  </si>
  <si>
    <t>FUEL1030 - Miscellaneous Fuel</t>
  </si>
  <si>
    <t>FUEL1031 - Misc. Fuel-Gasoline</t>
  </si>
  <si>
    <t>FUEL1032 - Misc. Fuel Taxable</t>
  </si>
  <si>
    <t>GAS1010 - Propane</t>
  </si>
  <si>
    <t>GAS1020 - Oxy/Ace Welding Gas</t>
  </si>
  <si>
    <t>GEN1080 - Shop Machry &amp; Equip</t>
  </si>
  <si>
    <t>GEN1090 - Steel</t>
  </si>
  <si>
    <t>GEN2000 - Forms</t>
  </si>
  <si>
    <t>GEN2010 - Furniture</t>
  </si>
  <si>
    <t>GEN2020 - Office Equipment</t>
  </si>
  <si>
    <t>GEN2050 - Promotional Material</t>
  </si>
  <si>
    <t>GEN3000 - Lube, Oil &amp; Grease</t>
  </si>
  <si>
    <t>GEN3010 - Oxy/Acetylane</t>
  </si>
  <si>
    <t>ITMDL1010 - Intmdl Other Parts</t>
  </si>
  <si>
    <t>ITMDL1050 - Intermodal Leases</t>
  </si>
  <si>
    <t>LBR1000 - Crossing Plank</t>
  </si>
  <si>
    <t>LBR1010 - Lumber General</t>
  </si>
  <si>
    <t>LOCO1000 - Locomotive Engine</t>
  </si>
  <si>
    <t>LOCO1030 - Locomotive Mods.</t>
  </si>
  <si>
    <t>LOCO1070 - Loco. - Other Parts</t>
  </si>
  <si>
    <t>LOCO5000 - Locomotive Slick</t>
  </si>
  <si>
    <t>LOCO6000 - Locomotive Air Brake</t>
  </si>
  <si>
    <t>MONT1000 - Montrain</t>
  </si>
  <si>
    <t>OTM1010 - Frogs</t>
  </si>
  <si>
    <t>OTM1020 - Gauge Rods</t>
  </si>
  <si>
    <t>OTM1030 - Glued Ins Jnts Assy</t>
  </si>
  <si>
    <t>OTM1050 - Rail Anchors</t>
  </si>
  <si>
    <t>OTM1060 - Rail Clips</t>
  </si>
  <si>
    <t>OTM1070 - Tie Plates Rolled</t>
  </si>
  <si>
    <t>OTM1080 - Track Panels</t>
  </si>
  <si>
    <t>OTM1090 - Track Signs/Targets</t>
  </si>
  <si>
    <t>OTM1100 - Track Spikes</t>
  </si>
  <si>
    <t>OTM1110 - Transition Rails</t>
  </si>
  <si>
    <t>OTM1120 - Thermite Kits&amp;Hardwr</t>
  </si>
  <si>
    <t>OTM1130 - Compromise Rail</t>
  </si>
  <si>
    <t>OTM1140 - Rail Lubricator</t>
  </si>
  <si>
    <t>OTM1150 - Plates Cast</t>
  </si>
  <si>
    <t>OTM1160 - Glued Ins Jnt Kits</t>
  </si>
  <si>
    <t>OTM1170 - Planks</t>
  </si>
  <si>
    <t>OTM2000 - Frog Packs</t>
  </si>
  <si>
    <t>OTM2010 - Plates Turnout</t>
  </si>
  <si>
    <t>OTM2020 - Guard Rail Packs</t>
  </si>
  <si>
    <t>OTM2030 - Switch Packs</t>
  </si>
  <si>
    <t>OTM3010 - Track Screws</t>
  </si>
  <si>
    <t>OTM3020 - Track Washers</t>
  </si>
  <si>
    <t>OTM3050 - Bars Non-Insulated</t>
  </si>
  <si>
    <t>OTM4000 - Insulators Con. Ties</t>
  </si>
  <si>
    <t>OTM4010 - Rail Pads Con. Ties</t>
  </si>
  <si>
    <t>OTM5000 - Guard Rail</t>
  </si>
  <si>
    <t>OTM5010 - Stock Rails</t>
  </si>
  <si>
    <t>OTM5020 - Switch Points</t>
  </si>
  <si>
    <t>OTM5030 - Turnouts Panli&amp;Prepl</t>
  </si>
  <si>
    <t>OTM5040 - Saw &amp; Drill Rail</t>
  </si>
  <si>
    <t>OTM5050 - Switch Stands</t>
  </si>
  <si>
    <t>OTM5060 - Turnout Kits</t>
  </si>
  <si>
    <t>OTM9000 - OTM SVC/Contracts</t>
  </si>
  <si>
    <t>PASS1000 - Passenger Air Brake</t>
  </si>
  <si>
    <t>PASS1010 - Passenger Othr Parts</t>
  </si>
  <si>
    <t>PASS1020 - Passenger Electrical</t>
  </si>
  <si>
    <t>PASS3000 - Passenger Wheel Sets</t>
  </si>
  <si>
    <t>RAIL9000 - Rail Flaw Detection</t>
  </si>
  <si>
    <t>RAIL9010 - Rail Grinding</t>
  </si>
  <si>
    <t>SIGNA1010 - Signals Crossings</t>
  </si>
  <si>
    <t>SIGNA1020 - Signals Misc.</t>
  </si>
  <si>
    <t>SIGNA3020 - Radio - Locomotive</t>
  </si>
  <si>
    <t>SIGNA3030 - Radio - Mobile</t>
  </si>
  <si>
    <t>SIGNA3050 - Radio - Portable</t>
  </si>
  <si>
    <t>SIGNA3060 - Radio Misc.</t>
  </si>
  <si>
    <t>SIGNA4010 - Telecom - Data</t>
  </si>
  <si>
    <t>SIGNA4020 - Telecom - Infrstr</t>
  </si>
  <si>
    <t>SIGNA4030 - Telecom Misc.</t>
  </si>
  <si>
    <t>SVC9100 - Administrative</t>
  </si>
  <si>
    <t>SVC9120 - Consulting</t>
  </si>
  <si>
    <t>SVC9125 - IT Consulting</t>
  </si>
  <si>
    <t>SVC9130 - Lodging</t>
  </si>
  <si>
    <t>SVC9131 - Lodging-Over 30 Days</t>
  </si>
  <si>
    <t>SVC9200 - Environmental</t>
  </si>
  <si>
    <t>SVC9210 - Facilities Mainten.</t>
  </si>
  <si>
    <t>SVC9240 - Security Services</t>
  </si>
  <si>
    <t>SVC9250 - Snow Removal</t>
  </si>
  <si>
    <t>SVC9260 - Waste Management</t>
  </si>
  <si>
    <t>SVC9270 - Customs &amp; Duty</t>
  </si>
  <si>
    <t>SVC9280 - Engineering Cnslting</t>
  </si>
  <si>
    <t>SVC9400 - General Engineering</t>
  </si>
  <si>
    <t>SVC9401 - Track Maintenance</t>
  </si>
  <si>
    <t>SVC9411 - Bridge Maintenance</t>
  </si>
  <si>
    <t>SVC9441 - Signals &amp; Comm. Mtce</t>
  </si>
  <si>
    <t>SVC9500 - General Mechanical</t>
  </si>
  <si>
    <t>SVC9531 - Interm Eqpt Mntce</t>
  </si>
  <si>
    <t>SVC9537 - Work Equipment Maint</t>
  </si>
  <si>
    <t>SVC9700 - Freight Transp.</t>
  </si>
  <si>
    <t>SVC9703 - Depreciation</t>
  </si>
  <si>
    <t>SVC9704 - Property Tax</t>
  </si>
  <si>
    <t>SVC9705 - Purchase Services</t>
  </si>
  <si>
    <t>TIES2000 - Steel Ties</t>
  </si>
  <si>
    <t>TRNS9000 - Air Freight</t>
  </si>
  <si>
    <t>TRNS9010 - Courier/Messenger</t>
  </si>
  <si>
    <t>TRNS9020 - Household Moves</t>
  </si>
  <si>
    <t>TRNS9030 - Less Than Truck Load</t>
  </si>
  <si>
    <t>TRNS9040 - Passenger Trnsptn</t>
  </si>
  <si>
    <t>TRNS9050 - Special Trans SVC</t>
  </si>
  <si>
    <t>TRNS9060 - Truck Load</t>
  </si>
  <si>
    <t>TRNS9070 - Fuel Carriers</t>
  </si>
  <si>
    <t>TRNS9071 - Cancellation Fee</t>
  </si>
  <si>
    <t>TRNS9072 - Waiting Time</t>
  </si>
  <si>
    <t>TRNS9073 - Minimum Volume</t>
  </si>
  <si>
    <t>TRNS9074 - Emergency Call Out</t>
  </si>
  <si>
    <t>TRNS9075 - Offsite</t>
  </si>
  <si>
    <t>TRNS9077 - After Hour</t>
  </si>
  <si>
    <t>TRNS9078 - Overflow/Other</t>
  </si>
  <si>
    <t>TRNS9079 - Xborder Fuel Carrier</t>
  </si>
  <si>
    <t>WRK1000 - Extended Warranty</t>
  </si>
  <si>
    <t>WRK1030 - Tools - W/E</t>
  </si>
  <si>
    <t>WRK9000 - W/E SVC/Contract</t>
  </si>
  <si>
    <t>A31 -  W/E Purch Wpg</t>
  </si>
  <si>
    <t>A70 -  Glt Purchasing</t>
  </si>
  <si>
    <t>C01 -  Fuel Locomotive</t>
  </si>
  <si>
    <t>C02 -  Car Inv.Cntrl</t>
  </si>
  <si>
    <t>C03 -  Technology</t>
  </si>
  <si>
    <t>C04 -  Loco Inv Contr</t>
  </si>
  <si>
    <t>C05 -  Travel Services</t>
  </si>
  <si>
    <t>C06 -  Gen Suppl&amp;Svcs</t>
  </si>
  <si>
    <t>C07 -  Work Equip</t>
  </si>
  <si>
    <t>C08 -  Otm</t>
  </si>
  <si>
    <t>C09 -  Ballast</t>
  </si>
  <si>
    <t>C10 -  Signals &amp; Comm.</t>
  </si>
  <si>
    <t>C11 -  Ties&amp;Wood</t>
  </si>
  <si>
    <t>C12 -  Car</t>
  </si>
  <si>
    <t>C13 -  Locomotive</t>
  </si>
  <si>
    <t>C14 -  Intermodal</t>
  </si>
  <si>
    <t>C15 -  Fuel Misc Lub Gas</t>
  </si>
  <si>
    <t>C16 -  Fleet-Acquisition</t>
  </si>
  <si>
    <t>C17 -  Loco Technology</t>
  </si>
  <si>
    <t>C18 -  Logistics</t>
  </si>
  <si>
    <t>C19 -  Engineering Srvces</t>
  </si>
  <si>
    <t>C20 -  Bridge</t>
  </si>
  <si>
    <t>C21 -  Rail</t>
  </si>
  <si>
    <t>C22 -  Facility Mgmt</t>
  </si>
  <si>
    <t>CAR1000 - Car-Air Brake&amp;Cmpnts</t>
  </si>
  <si>
    <t>CAR1010 - Car-Other Materials</t>
  </si>
  <si>
    <t>CAR1020 - Car-Modifications</t>
  </si>
  <si>
    <t>CAR2000 - Car-Wheelset Cmpnts</t>
  </si>
  <si>
    <t>CAR3000 - Car-Wheelsets</t>
  </si>
  <si>
    <t>CAR7000 - Car-R&amp;R Components</t>
  </si>
  <si>
    <t>COMM1010 - Telecom H/W</t>
  </si>
  <si>
    <t>COMM1020 - Telecom Infrastr.</t>
  </si>
  <si>
    <t>COMM1040 - Telecom Connected</t>
  </si>
  <si>
    <t>CPTR1100 - Mainframe H/W</t>
  </si>
  <si>
    <t>CPTR1110 - Mainframe Custom S/W</t>
  </si>
  <si>
    <t>CPTR1120 - Mainframe S/W</t>
  </si>
  <si>
    <t>CPTR1200 - Midrange H/W</t>
  </si>
  <si>
    <t>CPTR1220 - Midrange S/W</t>
  </si>
  <si>
    <t>CPTR1300 - Pc H/W</t>
  </si>
  <si>
    <t>CPTR1310 - Pc S/W</t>
  </si>
  <si>
    <t>CPTR1320 - Sftwr/Hrdwr Special</t>
  </si>
  <si>
    <t>DOCK1010 - Dock-Motors&amp;Brushes</t>
  </si>
  <si>
    <t>DOCK1020 - Dock-Conveyors&amp;Parts</t>
  </si>
  <si>
    <t>DOCK1030 - Dock Pulleys&amp;Parts</t>
  </si>
  <si>
    <t>DOCK1040 - Dock Bearings&amp;Access</t>
  </si>
  <si>
    <t>DOCK1050 - Dock Electrical</t>
  </si>
  <si>
    <t>DOCK1060 - Dock Reducer/Gearbox</t>
  </si>
  <si>
    <t>DOCK1070 - Dock Couplings</t>
  </si>
  <si>
    <t>DOCK1080 - Dock-Productn Equip</t>
  </si>
  <si>
    <t>DOCK1090 - Dock Other Mat'Ls</t>
  </si>
  <si>
    <t>DOCK2020 - Dock-Coal/Coke/Gypsm</t>
  </si>
  <si>
    <t>FCC1000 - Freight Claims N Tax</t>
  </si>
  <si>
    <t>FCR1000 - Freight Claims W Tax</t>
  </si>
  <si>
    <t>FCS1000 - Freight Claims W Tax</t>
  </si>
  <si>
    <t>FLEET1050 - Fleet-Other Matls</t>
  </si>
  <si>
    <t>FLEET3000 - Veh/Cmp(Gvwr&gt;3000Kg)</t>
  </si>
  <si>
    <t>FLEET3010 - Veh/Cmp(Gvwr&lt;3000Kg)</t>
  </si>
  <si>
    <t>FLEET3100 - Vehupftr Comp&gt;3000Kg</t>
  </si>
  <si>
    <t>FLEET3110 - Vehupftr Comp&lt;3000Kg</t>
  </si>
  <si>
    <t>FLEET9020 - Vehicle Lease</t>
  </si>
  <si>
    <t>FUEL1010 - Fuel-Diesel Loco</t>
  </si>
  <si>
    <t>GEN1070 - Safety Supplies</t>
  </si>
  <si>
    <t>GEN1110 - Mro,Consumables,Tool</t>
  </si>
  <si>
    <t>GEN1140 - Beverages&amp;Snacks</t>
  </si>
  <si>
    <t>GEN2030 - Office Equp&amp;Supplies</t>
  </si>
  <si>
    <t>GEN2035 - Ink Cartridges Toner</t>
  </si>
  <si>
    <t>GEN9010 - Env Chgs&amp;Matl Dispsl</t>
  </si>
  <si>
    <t>LBR8000 - Mrs Ties</t>
  </si>
  <si>
    <t>LOCO1005 - Loco-Turbo Charger</t>
  </si>
  <si>
    <t>LOCO1020 - Loco-Gen/Alt Parts</t>
  </si>
  <si>
    <t>LOCO1022 - Generator Sub Compon</t>
  </si>
  <si>
    <t>LOCO1025 - Loco-Genertr/Altrntr</t>
  </si>
  <si>
    <t>LOCO1040 - Loco-Tract Mtr Parts</t>
  </si>
  <si>
    <t>LOCO1045 - Loco-Traction Motor</t>
  </si>
  <si>
    <t>LOCO1050 - Loco-Truck</t>
  </si>
  <si>
    <t>LOCO1060 - Loco-Extendd Warrnty</t>
  </si>
  <si>
    <t>LOCO1080 - Locomotivetechnology</t>
  </si>
  <si>
    <t>LOCO1090 - Loco-Air Brake&amp;Comp</t>
  </si>
  <si>
    <t>LOCO2000 - Loco-Wheel Set Parts</t>
  </si>
  <si>
    <t>LOCO3000 - Loco-Wheel Sets</t>
  </si>
  <si>
    <t>LOCO4000 - Locomotive Traction</t>
  </si>
  <si>
    <t>LOCO7000 - Loco-R&amp;R Components</t>
  </si>
  <si>
    <t>LUBE1000 - Loco Lube Oil&amp;Grs</t>
  </si>
  <si>
    <t>LUBE1010 - Loco Engine Oil</t>
  </si>
  <si>
    <t>LUBE1020 - Nonloco Lube Oil&amp;Grs</t>
  </si>
  <si>
    <t>OTM3000 - Track Blts,Scrws,Wsh</t>
  </si>
  <si>
    <t>RAIL1000 - Rail-Field&amp;Yard</t>
  </si>
  <si>
    <t>RAIL8000 - Mrs Rail</t>
  </si>
  <si>
    <t>SCRAP1000 - Scrap General</t>
  </si>
  <si>
    <t>SIGNA1000 - Crossing</t>
  </si>
  <si>
    <t>SIGNA1030 - Signals Scd</t>
  </si>
  <si>
    <t>SIGNA2000 - Wayside</t>
  </si>
  <si>
    <t>SIGNA2010 - Wayside Packages</t>
  </si>
  <si>
    <t>SIGNA2020 - Detector</t>
  </si>
  <si>
    <t>SIGNA2030 - Snow Clring Devices</t>
  </si>
  <si>
    <t>SIGNA3000 - Switch Mach&amp;Hump</t>
  </si>
  <si>
    <t>SIGNA3010 - Hump Yard</t>
  </si>
  <si>
    <t>SIGNA4000 - Telecom - Fots</t>
  </si>
  <si>
    <t>SIGNA5000 - Cables &amp; Fibre</t>
  </si>
  <si>
    <t>SIGNA6010 - Radio</t>
  </si>
  <si>
    <t>SIGNA6020 - End Of Train</t>
  </si>
  <si>
    <t>SIGNA6030 - Beltpack</t>
  </si>
  <si>
    <t>SIGNA7010 - Structures</t>
  </si>
  <si>
    <t>SIGNA7020 - Foundations</t>
  </si>
  <si>
    <t>SIGNA8010 - Parts &amp; Tools</t>
  </si>
  <si>
    <t>SIGNA8020 - Signs</t>
  </si>
  <si>
    <t>SIGNA9030 - Repairs&amp;Warranty</t>
  </si>
  <si>
    <t>SVC9132 - Lodging-Exceptions</t>
  </si>
  <si>
    <t>SVC9180 - Mainfr,Midr,Pc H/W S</t>
  </si>
  <si>
    <t>SVC9190 - Mainfr,Midr,Pc S/W S</t>
  </si>
  <si>
    <t>SVC9600 - Gen Rai Lway Optns</t>
  </si>
  <si>
    <t>SVC9702 - Freight Tr. No Tax</t>
  </si>
  <si>
    <t>TIES1000 - Ties Other Than Wood</t>
  </si>
  <si>
    <t>TRNS9076 - Holiday Or Week-End</t>
  </si>
  <si>
    <t>WRK1010 - W/E-On Track</t>
  </si>
  <si>
    <t>WRK1020 - W/E-On/Off Track</t>
  </si>
  <si>
    <t>WRK1040 - W/E-Other Materials</t>
  </si>
  <si>
    <t>WRK2010 - W/E-On Track Lease</t>
  </si>
  <si>
    <t>WRK2020 - W/E-Off Track Lease</t>
  </si>
  <si>
    <t>WRK7000 - W/E-R&amp;R Components</t>
  </si>
  <si>
    <t>OTM1000 - OTM-Diamonds</t>
  </si>
  <si>
    <t>OTM1040 - OTM-Other Materials</t>
  </si>
  <si>
    <t>OTM3060 - OTM-Bars Insulated</t>
  </si>
  <si>
    <t>SVC9126 - IT Consulting Us</t>
  </si>
  <si>
    <t>LBR2000 - Switch Ties SW Untrd</t>
  </si>
  <si>
    <t>LBR2010 - Switch Ties SW Trtd</t>
  </si>
  <si>
    <t>LBR3000 - Track Ties SW Untrd</t>
  </si>
  <si>
    <t>LBR3010 - Track Ties SW Trtd</t>
  </si>
  <si>
    <t>TIES2010 - Switch Ties SW Untrd</t>
  </si>
  <si>
    <t>TIES2020 - Switch Ties SW Trtd</t>
  </si>
  <si>
    <t>TIES2050 - Track Ties SW Untrd</t>
  </si>
  <si>
    <t>TIES2060 - Track Ties SW Trtd</t>
  </si>
  <si>
    <t>LBR2020 - Switch Ties HW Untrd</t>
  </si>
  <si>
    <t>LBR2030 - Switch Ties HW Trtd</t>
  </si>
  <si>
    <t>LBR3020 - Track Ties HW Untrd</t>
  </si>
  <si>
    <t>LBR3030 - Track Ties HW Trtd</t>
  </si>
  <si>
    <t>TIES2030 - Switch Ties HW Untrd</t>
  </si>
  <si>
    <t>TIES2040 - Switch Ties HW Trtd</t>
  </si>
  <si>
    <t>TIES2070 - Track Ties HW Untrd</t>
  </si>
  <si>
    <t>TIES2080 - Track Ties HW Trtd</t>
  </si>
  <si>
    <t>CAR9000 - Car-SVCs&amp;Contracts</t>
  </si>
  <si>
    <t>LOCO9000 - Loco-SVCs&amp;Contracts</t>
  </si>
  <si>
    <t>SIGNA9020 - Installation SVCs</t>
  </si>
  <si>
    <t>SVC9115 - IT Capacity Cdn SVC</t>
  </si>
  <si>
    <t>SVC9160 - Telecom Infrastr SVC</t>
  </si>
  <si>
    <t>SVC9170 - Network Infrastr SVC</t>
  </si>
  <si>
    <t>SVC9683 - Interm Operation SVC</t>
  </si>
  <si>
    <t>025A - Good Order</t>
  </si>
  <si>
    <t>025B - Bad Ordr Storag</t>
  </si>
  <si>
    <t>060A - 060A-Thor MPCE</t>
  </si>
  <si>
    <t>112A - USE 1073 110A</t>
  </si>
  <si>
    <t>114A - USE 1084 110A</t>
  </si>
  <si>
    <t>116A - USE 1083 110A</t>
  </si>
  <si>
    <t>118A - USE 1082 110A</t>
  </si>
  <si>
    <t>120A - USE 1171 110A</t>
  </si>
  <si>
    <t>122A - USE 1071 110A</t>
  </si>
  <si>
    <t>130F - 130F-ThorntnFuel</t>
  </si>
  <si>
    <t>N9BA - N9BA-Halton sub</t>
  </si>
  <si>
    <t>N9GA - N9GA-Dundas sub</t>
  </si>
  <si>
    <t>N9GB - N9GB-Dundas sub</t>
  </si>
  <si>
    <t>N9MA - N9MA-Kingston</t>
  </si>
  <si>
    <t>N9NA - N9NA-Bala sub</t>
  </si>
  <si>
    <t>N9NB - N9NB-Bala sub</t>
  </si>
  <si>
    <t>N9NC - N9NC-Bala sub</t>
  </si>
  <si>
    <t>N9OA - N9OA-Caramat sub</t>
  </si>
  <si>
    <t>N9OB - N9OB-Caramat sub</t>
  </si>
  <si>
    <t>N9OC - N9OC-Caramat sub</t>
  </si>
  <si>
    <t>N9RA - N9RA-Allanwater</t>
  </si>
  <si>
    <t>N9RB - N9RB-Allanwater</t>
  </si>
  <si>
    <t>N9UA - N9UA-Kashabowie</t>
  </si>
  <si>
    <t>01 Track And Switch Materials</t>
  </si>
  <si>
    <t>02 Telecommunication And Signal Material</t>
  </si>
  <si>
    <t>03 Building Materials</t>
  </si>
  <si>
    <t>04 Lumber - General Purpose</t>
  </si>
  <si>
    <t>05 Ties - Wooden And Concrete</t>
  </si>
  <si>
    <t>06 Bridge And Piling Materials</t>
  </si>
  <si>
    <t>07 Ballast</t>
  </si>
  <si>
    <t>08 Rail</t>
  </si>
  <si>
    <t>09 Scales-Elevators-Special Machinery Parts</t>
  </si>
  <si>
    <t>10 Automotive And Work Equipment</t>
  </si>
  <si>
    <t>11 Fasteners</t>
  </si>
  <si>
    <t>12 Springs - Freight Cars And Locomotives</t>
  </si>
  <si>
    <t>15 Steel Products</t>
  </si>
  <si>
    <t>19 Forgings And Castings - Equipment</t>
  </si>
  <si>
    <t>20 Freight And Passenger Car Materials</t>
  </si>
  <si>
    <t>21 Non-Ferrous Metal Parts</t>
  </si>
  <si>
    <t>22 Air Brake Materials</t>
  </si>
  <si>
    <t>23 Locomotive Appliances</t>
  </si>
  <si>
    <t>24 Passenger Car Trimmings</t>
  </si>
  <si>
    <t>25 Electrical Materials</t>
  </si>
  <si>
    <t>26 Diesel Locomotive Materials</t>
  </si>
  <si>
    <t>27 Gasoline-Naphta-Xylene</t>
  </si>
  <si>
    <t>28 Foundry Supplies</t>
  </si>
  <si>
    <t>29 Wheels And Axles</t>
  </si>
  <si>
    <t>30 Lumber-Cars</t>
  </si>
  <si>
    <t>31 Shop Machinery Parts</t>
  </si>
  <si>
    <t>35 Cnmarine Materials</t>
  </si>
  <si>
    <t>36 Equipment Suppliers - General Purpose</t>
  </si>
  <si>
    <t>37 Oils And Greases</t>
  </si>
  <si>
    <t>38 Salt And Ice</t>
  </si>
  <si>
    <t>41 Commissary Supplies</t>
  </si>
  <si>
    <t>42 Plumbing Supplies</t>
  </si>
  <si>
    <t>45 Tools And Hardware</t>
  </si>
  <si>
    <t>46 Leather And Rubber Products</t>
  </si>
  <si>
    <t>47 Chemical And Paint Products</t>
  </si>
  <si>
    <t>48 Stationery-Forms And Office Supplies</t>
  </si>
  <si>
    <t>50 Scrap Materials</t>
  </si>
  <si>
    <t>60 Diesel Oil - Misc. Heating</t>
  </si>
  <si>
    <t>61 Diesel Oil</t>
  </si>
  <si>
    <t>63 Diesel Oil - Highway Services</t>
  </si>
  <si>
    <t>64 Heating Oil</t>
  </si>
  <si>
    <t>66 Propane And Natural Gas</t>
  </si>
  <si>
    <t>80 Transcona Sawn/Drilled Rail</t>
  </si>
  <si>
    <t>90 Montrain</t>
  </si>
  <si>
    <t>94 Automotive And Truck Leases</t>
  </si>
  <si>
    <t>A - Ampere</t>
  </si>
  <si>
    <t>ACR - Acre</t>
  </si>
  <si>
    <t>AS - Assortment</t>
  </si>
  <si>
    <t>AY - Assembly</t>
  </si>
  <si>
    <t>BA - Bale</t>
  </si>
  <si>
    <t>BAG - Bag</t>
  </si>
  <si>
    <t>BAR - Bar</t>
  </si>
  <si>
    <t>BK - Book</t>
  </si>
  <si>
    <t>BL - Block</t>
  </si>
  <si>
    <t>BN - Bundle</t>
  </si>
  <si>
    <t>BOT - Bottle</t>
  </si>
  <si>
    <t>BOX - Box</t>
  </si>
  <si>
    <t>BQL - Becquerel/kilogram</t>
  </si>
  <si>
    <t>BR - BAR</t>
  </si>
  <si>
    <t>BS - Basket</t>
  </si>
  <si>
    <t>C3S - Cubic centimeter/second</t>
  </si>
  <si>
    <t>CAN - Can</t>
  </si>
  <si>
    <t>CAR - Carton</t>
  </si>
  <si>
    <t>CAS - Case</t>
  </si>
  <si>
    <t>CB - Carboy</t>
  </si>
  <si>
    <t>CCF - Cubic Hundred Feet</t>
  </si>
  <si>
    <t>CCM - Cubic centimeter</t>
  </si>
  <si>
    <t>CD - Candela</t>
  </si>
  <si>
    <t>CEL - Cell</t>
  </si>
  <si>
    <t>CFS - Cubic feet/second</t>
  </si>
  <si>
    <t>CFU - Colony Forming Units/100 mil</t>
  </si>
  <si>
    <t>CH - Container</t>
  </si>
  <si>
    <t>CK - Cassette</t>
  </si>
  <si>
    <t>CL - Centiliter</t>
  </si>
  <si>
    <t>CM - Centimeter</t>
  </si>
  <si>
    <t>CM2 - Square centimeter</t>
  </si>
  <si>
    <t>CMH - Centimeter/hour</t>
  </si>
  <si>
    <t>CMS - Centimeter/Second</t>
  </si>
  <si>
    <t>CM_ - Car Miles</t>
  </si>
  <si>
    <t>COI - Coil</t>
  </si>
  <si>
    <t>CQ - Cartridges</t>
  </si>
  <si>
    <t>CR - Car</t>
  </si>
  <si>
    <t>CRD - Card</t>
  </si>
  <si>
    <t>CRS - Carset</t>
  </si>
  <si>
    <t>CRT - Crate</t>
  </si>
  <si>
    <t>CYC - Cycle</t>
  </si>
  <si>
    <t>CYL - Cylinder</t>
  </si>
  <si>
    <t>D - Days</t>
  </si>
  <si>
    <t>DAY - Days</t>
  </si>
  <si>
    <t>DC - Disk (Disc)</t>
  </si>
  <si>
    <t>DEG - Degree</t>
  </si>
  <si>
    <t>DI - Dispenser</t>
  </si>
  <si>
    <t>DM - Decimeter</t>
  </si>
  <si>
    <t>DM3 - Cubic decimeter</t>
  </si>
  <si>
    <t>DO - Dollar Basis Amount</t>
  </si>
  <si>
    <t>DRM - Drum</t>
  </si>
  <si>
    <t>DUM - Diesel Unit Miles</t>
  </si>
  <si>
    <t>DZ - Dozen</t>
  </si>
  <si>
    <t>EA - Each</t>
  </si>
  <si>
    <t>EML - Enzyme Units / Milliliter</t>
  </si>
  <si>
    <t>EU - Enzyme Units</t>
  </si>
  <si>
    <t>F - Farad</t>
  </si>
  <si>
    <t>FBM - Foot Board Measure</t>
  </si>
  <si>
    <t>FL - Fuel Litre</t>
  </si>
  <si>
    <t>FOZ - Fluid Ounce US</t>
  </si>
  <si>
    <t>FPM - Flashes per minute</t>
  </si>
  <si>
    <t>FT - Foot</t>
  </si>
  <si>
    <t>FT2 - Square foot</t>
  </si>
  <si>
    <t>FT3 - Cubic foot</t>
  </si>
  <si>
    <t>G - Gram</t>
  </si>
  <si>
    <t>G/L - Gram act.ingrd / liter</t>
  </si>
  <si>
    <t>GAI - Gram act. ingrd.</t>
  </si>
  <si>
    <t>GAL - US gallon</t>
  </si>
  <si>
    <t>GAU - Gram Gold</t>
  </si>
  <si>
    <t>GGA - us gallon</t>
  </si>
  <si>
    <t>GHG - Gram/hectogram</t>
  </si>
  <si>
    <t>GJ - Gigajoule</t>
  </si>
  <si>
    <t>GKG - Gram/kilogram</t>
  </si>
  <si>
    <t>GLI - Gram/liter</t>
  </si>
  <si>
    <t>GM - Gram/Mol</t>
  </si>
  <si>
    <t>GM2 - Gram/square meter</t>
  </si>
  <si>
    <t>GM3 - Gram/Cubic meter</t>
  </si>
  <si>
    <t>GOH - Gigaohm</t>
  </si>
  <si>
    <t>GPD - US gallon/day</t>
  </si>
  <si>
    <t>GRO - Gross</t>
  </si>
  <si>
    <t>GT - Gross Ton</t>
  </si>
  <si>
    <t>GTM - Gross Ton Miles</t>
  </si>
  <si>
    <t>H - Hour</t>
  </si>
  <si>
    <t>HA - Hectare</t>
  </si>
  <si>
    <t>HFT - Hundred Feet</t>
  </si>
  <si>
    <t>HL - Hectoliter</t>
  </si>
  <si>
    <t>HP - Picosecond</t>
  </si>
  <si>
    <t>HPA - Hectopascal</t>
  </si>
  <si>
    <t>HPP - Horse Power</t>
  </si>
  <si>
    <t>HR - Hours</t>
  </si>
  <si>
    <t>HU - Hundred</t>
  </si>
  <si>
    <t>HZ - Hertz (1/second)</t>
  </si>
  <si>
    <t>IGL - Imperial Gallon</t>
  </si>
  <si>
    <t>IGM - Imperial gallon/minute</t>
  </si>
  <si>
    <t>INC - Inch</t>
  </si>
  <si>
    <t>J - Joule</t>
  </si>
  <si>
    <t>JKG - Joule/Kilogram</t>
  </si>
  <si>
    <t>JMO - Joule/Mol</t>
  </si>
  <si>
    <t>JR - Jar</t>
  </si>
  <si>
    <t>JU - Jug</t>
  </si>
  <si>
    <t>K - Kelvin</t>
  </si>
  <si>
    <t>KA - Kiloampere</t>
  </si>
  <si>
    <t>KAI - Kilogram act. ingrd.</t>
  </si>
  <si>
    <t>KAN - Canister</t>
  </si>
  <si>
    <t>KBK - Kilobecquerel/kilogram</t>
  </si>
  <si>
    <t>KD3 - Kilogram/cubic decimeter</t>
  </si>
  <si>
    <t>KEG - Keg</t>
  </si>
  <si>
    <t>KG - Kilogram</t>
  </si>
  <si>
    <t>KGF - Kilogram/Square meter</t>
  </si>
  <si>
    <t>KGK - Kilogram/Kilogram</t>
  </si>
  <si>
    <t>KGM - Kilogram/Mol</t>
  </si>
  <si>
    <t>KGS - Kilogram/second</t>
  </si>
  <si>
    <t>KGV - Kilogram/cubic meter</t>
  </si>
  <si>
    <t>KHZ - Kilohertz</t>
  </si>
  <si>
    <t>KIK - Kg act.ingrd. / kg</t>
  </si>
  <si>
    <t>KIT - Kit</t>
  </si>
  <si>
    <t>KJ - Kilojoule</t>
  </si>
  <si>
    <t>KJK - Kilojoule/kilogram</t>
  </si>
  <si>
    <t>KJM - Kilojoule/Mol</t>
  </si>
  <si>
    <t>KM - Miles/Kms</t>
  </si>
  <si>
    <t>KM2 - Square kilometer</t>
  </si>
  <si>
    <t>KMH - Kilometer/hour</t>
  </si>
  <si>
    <t>KMK - Cubic meter/Cubic meter</t>
  </si>
  <si>
    <t>KMN - Kelvin/Minute</t>
  </si>
  <si>
    <t>KMS - Kelvin/Second</t>
  </si>
  <si>
    <t>KOH - Kiloohm</t>
  </si>
  <si>
    <t>KPA - Kilopascal</t>
  </si>
  <si>
    <t>KV - Kilovolt</t>
  </si>
  <si>
    <t>KVA - Kilovoltampere</t>
  </si>
  <si>
    <t>KW - Kilowatt</t>
  </si>
  <si>
    <t>KWD - Kilowatt demand</t>
  </si>
  <si>
    <t>KWH - Kilowatt hours</t>
  </si>
  <si>
    <t>L - Liter</t>
  </si>
  <si>
    <t>LB - US pound</t>
  </si>
  <si>
    <t>LF - Linear Foot</t>
  </si>
  <si>
    <t>LG - Length</t>
  </si>
  <si>
    <t>LMI - Liter/Minute</t>
  </si>
  <si>
    <t>LMS - Liter/Molsecond</t>
  </si>
  <si>
    <t>LOT - LOT</t>
  </si>
  <si>
    <t>LTR - Liter</t>
  </si>
  <si>
    <t>M - Meter</t>
  </si>
  <si>
    <t>M% - Percent mass</t>
  </si>
  <si>
    <t>M%O - Permille mass</t>
  </si>
  <si>
    <t>M/H - Meter/Hour</t>
  </si>
  <si>
    <t>M/M - Meter/Minute</t>
  </si>
  <si>
    <t>M/S - Meter/second</t>
  </si>
  <si>
    <t>M2 - Square meter</t>
  </si>
  <si>
    <t>M2S - Square meter/second</t>
  </si>
  <si>
    <t>M3 - Cubic meter</t>
  </si>
  <si>
    <t>M3H - Cubic meter/Hour</t>
  </si>
  <si>
    <t>M3S - Cubic meter/second</t>
  </si>
  <si>
    <t>MA - Milliampere</t>
  </si>
  <si>
    <t>MB - Thousand Foot Board Measure</t>
  </si>
  <si>
    <t>MBA - Millibar</t>
  </si>
  <si>
    <t>MBZ - Meterbar/second</t>
  </si>
  <si>
    <t>MEJ - Megajoule</t>
  </si>
  <si>
    <t>MFT - Thousand Feet</t>
  </si>
  <si>
    <t>MG - Milligram</t>
  </si>
  <si>
    <t>MGD - Million US gal/day</t>
  </si>
  <si>
    <t>MGF - Milligram/Square centimeter</t>
  </si>
  <si>
    <t>MGG - Milligram/gram</t>
  </si>
  <si>
    <t>MGK - Milligram/kilogram</t>
  </si>
  <si>
    <t>MGL - Milligram/liter</t>
  </si>
  <si>
    <t>MGO - Megohm</t>
  </si>
  <si>
    <t>MGQ - Milligram/cubic meter</t>
  </si>
  <si>
    <t>MGW - Megawatt</t>
  </si>
  <si>
    <t>MHV - Megavolt</t>
  </si>
  <si>
    <t>MHZ - Megahertz</t>
  </si>
  <si>
    <t>MI - Mile</t>
  </si>
  <si>
    <t>MI2 - Square mile</t>
  </si>
  <si>
    <t>MIJ - Millijoule</t>
  </si>
  <si>
    <t>MIN - Minute</t>
  </si>
  <si>
    <t>MIS - Microsecond</t>
  </si>
  <si>
    <t>ML - Milliliter</t>
  </si>
  <si>
    <t>MLI - Milliliter act. ingr.</t>
  </si>
  <si>
    <t>MLK - Milliliter/cubic meter</t>
  </si>
  <si>
    <t>MLL - Milliliter / liter</t>
  </si>
  <si>
    <t>MM - Millimeter</t>
  </si>
  <si>
    <t>MM2 - Square millimeter</t>
  </si>
  <si>
    <t>MM3 - Cubic millimeter</t>
  </si>
  <si>
    <t>MMA - Millimeter/year</t>
  </si>
  <si>
    <t>MMG - Millimol/gram</t>
  </si>
  <si>
    <t>MMH - Millimeter/hour</t>
  </si>
  <si>
    <t>MMK - Millimol/kilogram</t>
  </si>
  <si>
    <t>MMO - Millimol</t>
  </si>
  <si>
    <t>MMS - Millimeter/second</t>
  </si>
  <si>
    <t>MN - Meganewton</t>
  </si>
  <si>
    <t>MNM - Millinewton/meter</t>
  </si>
  <si>
    <t>MOK - Mol/kilogram</t>
  </si>
  <si>
    <t>MOL - Mol</t>
  </si>
  <si>
    <t>MON - Months</t>
  </si>
  <si>
    <t>MPA - Megapascal</t>
  </si>
  <si>
    <t>MPB - Mass parts per billion</t>
  </si>
  <si>
    <t>MPH - Miles per hour</t>
  </si>
  <si>
    <t>MPM - Mass parts per million</t>
  </si>
  <si>
    <t>MPN - Most Probable Number</t>
  </si>
  <si>
    <t>MPS - Millipascal seconds</t>
  </si>
  <si>
    <t>MPT - Mass parts per trillion</t>
  </si>
  <si>
    <t>MPZ - Meterpascal/second</t>
  </si>
  <si>
    <t>MS - Millisecond</t>
  </si>
  <si>
    <t>MS2 - Meter/second squared</t>
  </si>
  <si>
    <t>MTE - Millitesla</t>
  </si>
  <si>
    <t>MTK - Metric ton kilograms</t>
  </si>
  <si>
    <t>MUS - Million US gallons</t>
  </si>
  <si>
    <t>MV - Millivolt</t>
  </si>
  <si>
    <t>MW - Milliwatt</t>
  </si>
  <si>
    <t>MWH - Megawatt hours</t>
  </si>
  <si>
    <t>N - Newton</t>
  </si>
  <si>
    <t>NA - Not Applicable</t>
  </si>
  <si>
    <t>NAM - Nanometer</t>
  </si>
  <si>
    <t>NAN - Nanoampere</t>
  </si>
  <si>
    <t>NI - Kilonewton</t>
  </si>
  <si>
    <t>NM - Newton/meter</t>
  </si>
  <si>
    <t>NMM - Newton/Square millimeter</t>
  </si>
  <si>
    <t>NS - Nanosecond</t>
  </si>
  <si>
    <t>NT - Net Ton</t>
  </si>
  <si>
    <t>NTU - Nephelometric Turbidity Units</t>
  </si>
  <si>
    <t>OHM - Ohm</t>
  </si>
  <si>
    <t>ONE - One</t>
  </si>
  <si>
    <t>OZ - Ounce</t>
  </si>
  <si>
    <t>P - Points</t>
  </si>
  <si>
    <t>PA - Pascal</t>
  </si>
  <si>
    <t>PAA - Pair</t>
  </si>
  <si>
    <t>PAC - Pack</t>
  </si>
  <si>
    <t>PAD - Pad</t>
  </si>
  <si>
    <t>PAI - Pail</t>
  </si>
  <si>
    <t>PAL - Pallet</t>
  </si>
  <si>
    <t>PAS - Pascal second</t>
  </si>
  <si>
    <t>PC - Piece</t>
  </si>
  <si>
    <t>PCT - Megavoltampere</t>
  </si>
  <si>
    <t>PH - pH</t>
  </si>
  <si>
    <t>PKG - Package</t>
  </si>
  <si>
    <t>PMI - 1/minute</t>
  </si>
  <si>
    <t>PO - Pikofarad</t>
  </si>
  <si>
    <t>PPB - Parts per billion</t>
  </si>
  <si>
    <t>PPM - Parts per million</t>
  </si>
  <si>
    <t>PPT - Parts per trillion</t>
  </si>
  <si>
    <t>PRS - Number of persons</t>
  </si>
  <si>
    <t>PSI - Pounds/Square inch</t>
  </si>
  <si>
    <t>PT - Pint, US liquid</t>
  </si>
  <si>
    <t>PU - Power unit</t>
  </si>
  <si>
    <t>QML - Kilomol</t>
  </si>
  <si>
    <t>QT - Quart, US liquid</t>
  </si>
  <si>
    <t>QY - Quarterly</t>
  </si>
  <si>
    <t>R-U - Nanofarad</t>
  </si>
  <si>
    <t>RD - Rod</t>
  </si>
  <si>
    <t>RE - Reel</t>
  </si>
  <si>
    <t>RF - Millifarad</t>
  </si>
  <si>
    <t>RHO - Gramm/Cubic centimeter</t>
  </si>
  <si>
    <t>RM - Ream</t>
  </si>
  <si>
    <t>ROL - Roll</t>
  </si>
  <si>
    <t>S - Second</t>
  </si>
  <si>
    <t>SE - Section</t>
  </si>
  <si>
    <t>SEC - Seconds</t>
  </si>
  <si>
    <t>SET - Set</t>
  </si>
  <si>
    <t>SHT - Sheet</t>
  </si>
  <si>
    <t>SK - Split Tanktruck</t>
  </si>
  <si>
    <t>SP - Spool</t>
  </si>
  <si>
    <t>SPK - Shelf Package</t>
  </si>
  <si>
    <t>TB - Tubes</t>
  </si>
  <si>
    <t>TC3 - 1/cubic centimeter</t>
  </si>
  <si>
    <t>TCF - Thousand Cubic feet</t>
  </si>
  <si>
    <t>TCU - True Colour Units</t>
  </si>
  <si>
    <t>TD - Therms</t>
  </si>
  <si>
    <t>TE - Tote</t>
  </si>
  <si>
    <t>TES - Tesla</t>
  </si>
  <si>
    <t>TK - Tank</t>
  </si>
  <si>
    <t>TM - Train Miles</t>
  </si>
  <si>
    <t>TM3 - 1/cubic meter</t>
  </si>
  <si>
    <t>TO - Tonnes</t>
  </si>
  <si>
    <t>TOM - Ton/Cubic meter</t>
  </si>
  <si>
    <t>TON - US ton</t>
  </si>
  <si>
    <t>TS - Thousand</t>
  </si>
  <si>
    <t>UGM - US gallon/minute</t>
  </si>
  <si>
    <t>UN - UNIT</t>
  </si>
  <si>
    <t>V - Volts</t>
  </si>
  <si>
    <t>V% - Percent volume</t>
  </si>
  <si>
    <t>V%O - Permille volume</t>
  </si>
  <si>
    <t>VAL - VO mat.</t>
  </si>
  <si>
    <t>VPB - Volume parts per billion</t>
  </si>
  <si>
    <t>VPM - Volume parts per million</t>
  </si>
  <si>
    <t>VPT - Volume parts per trillion</t>
  </si>
  <si>
    <t>W - Watt</t>
  </si>
  <si>
    <t>WDA - Work Day (8 hours)</t>
  </si>
  <si>
    <t>WK - Weeks</t>
  </si>
  <si>
    <t>YD - Yard</t>
  </si>
  <si>
    <t>YD2 - Square Yard</t>
  </si>
  <si>
    <t>YD3 - Cubic yard</t>
  </si>
  <si>
    <t>YR - Years</t>
  </si>
  <si>
    <t>°C - Degrees Celsius</t>
  </si>
  <si>
    <t>°F - Fahrenheit</t>
  </si>
  <si>
    <t>µA - Microampere</t>
  </si>
  <si>
    <t>µF - Microfarad</t>
  </si>
  <si>
    <t>µGL - Microgram/liter</t>
  </si>
  <si>
    <t>µGQ - Microgram/cubic meter</t>
  </si>
  <si>
    <t>µL - Microliter</t>
  </si>
  <si>
    <t>µM - Micrometer</t>
  </si>
  <si>
    <t>AMM1000</t>
  </si>
  <si>
    <t>Ammunitions</t>
  </si>
  <si>
    <t>BLST1000</t>
  </si>
  <si>
    <t>Ballast</t>
  </si>
  <si>
    <t>BLST1010</t>
  </si>
  <si>
    <t>Ballast Misc.</t>
  </si>
  <si>
    <t>BRDG1000</t>
  </si>
  <si>
    <t>Brdg Struct Concrete</t>
  </si>
  <si>
    <t>BRDG1010</t>
  </si>
  <si>
    <t>Brdg Struct Steel</t>
  </si>
  <si>
    <t>BRDG1020</t>
  </si>
  <si>
    <t>Brdg Other Parts</t>
  </si>
  <si>
    <t>BRDG9000</t>
  </si>
  <si>
    <t>Brdg SVC/Contracts</t>
  </si>
  <si>
    <t>BULK1000</t>
  </si>
  <si>
    <t>Aggregate</t>
  </si>
  <si>
    <t>CAR1000</t>
  </si>
  <si>
    <t>Car-Air Brake&amp;Cmpnts</t>
  </si>
  <si>
    <t>CAR1010</t>
  </si>
  <si>
    <t>Car-Other Materials</t>
  </si>
  <si>
    <t>CAR1020</t>
  </si>
  <si>
    <t>Car-Modifications</t>
  </si>
  <si>
    <t>CAR2000</t>
  </si>
  <si>
    <t>Car-Wheelset Cmpnts</t>
  </si>
  <si>
    <t>CAR3000</t>
  </si>
  <si>
    <t>Car-Wheelsets</t>
  </si>
  <si>
    <t>CAR4000</t>
  </si>
  <si>
    <t>Freight Draft Gear</t>
  </si>
  <si>
    <t>CAR7000</t>
  </si>
  <si>
    <t>Car-R&amp;R Components</t>
  </si>
  <si>
    <t>CAR9000</t>
  </si>
  <si>
    <t>Car-SVCs&amp;Contracts</t>
  </si>
  <si>
    <t>COMM1010</t>
  </si>
  <si>
    <t>Telecom H/W</t>
  </si>
  <si>
    <t>COMM1020</t>
  </si>
  <si>
    <t>Telecom Infrastr.</t>
  </si>
  <si>
    <t>COMM1040</t>
  </si>
  <si>
    <t>Telecom Connected</t>
  </si>
  <si>
    <t>COMM9040</t>
  </si>
  <si>
    <t>Telephony SVC</t>
  </si>
  <si>
    <t>CPTR1100</t>
  </si>
  <si>
    <t>Mainframe H/W</t>
  </si>
  <si>
    <t>CPTR1110</t>
  </si>
  <si>
    <t>Mainframe Custom S/W</t>
  </si>
  <si>
    <t>CPTR1120</t>
  </si>
  <si>
    <t>Mainframe S/W</t>
  </si>
  <si>
    <t>CPTR1200</t>
  </si>
  <si>
    <t>Midrange H/W</t>
  </si>
  <si>
    <t>CPTR1220</t>
  </si>
  <si>
    <t>Midrange S/W</t>
  </si>
  <si>
    <t>CPTR1300</t>
  </si>
  <si>
    <t>Pc H/W</t>
  </si>
  <si>
    <t>CPTR1310</t>
  </si>
  <si>
    <t>Pc S/W</t>
  </si>
  <si>
    <t>CPTR1320</t>
  </si>
  <si>
    <t>Sftwr/Hrdwr Special</t>
  </si>
  <si>
    <t>DOCK1010</t>
  </si>
  <si>
    <t>Dock-Motors&amp;Brushes</t>
  </si>
  <si>
    <t>DOCK1020</t>
  </si>
  <si>
    <t>Dock-Conveyors&amp;Parts</t>
  </si>
  <si>
    <t>DOCK1030</t>
  </si>
  <si>
    <t>Dock Pulleys&amp;Parts</t>
  </si>
  <si>
    <t>DOCK1040</t>
  </si>
  <si>
    <t>Dock Bearings&amp;Access</t>
  </si>
  <si>
    <t>DOCK1050</t>
  </si>
  <si>
    <t>Dock Electrical</t>
  </si>
  <si>
    <t>DOCK1060</t>
  </si>
  <si>
    <t>Dock Reducer/Gearbox</t>
  </si>
  <si>
    <t>DOCK1070</t>
  </si>
  <si>
    <t>Dock Couplings</t>
  </si>
  <si>
    <t>DOCK1080</t>
  </si>
  <si>
    <t>Dock-Productn Equip</t>
  </si>
  <si>
    <t>DOCK1090</t>
  </si>
  <si>
    <t>Dock Other Mat'Ls</t>
  </si>
  <si>
    <t>DOCK2010</t>
  </si>
  <si>
    <t>Iron Ore</t>
  </si>
  <si>
    <t>DOCK2020</t>
  </si>
  <si>
    <t>Dock-Coal/Coke/Gypsm</t>
  </si>
  <si>
    <t>DOCK2030</t>
  </si>
  <si>
    <t>Coke/Gypsum</t>
  </si>
  <si>
    <t>DOCK2040</t>
  </si>
  <si>
    <t>Stone</t>
  </si>
  <si>
    <t>DOCK2050</t>
  </si>
  <si>
    <t>Salt/Scrap/Other</t>
  </si>
  <si>
    <t>FCC1000</t>
  </si>
  <si>
    <t>Freight Claims N Tax</t>
  </si>
  <si>
    <t>FCR1000</t>
  </si>
  <si>
    <t>Freight Claims W Tax</t>
  </si>
  <si>
    <t>FCS1000</t>
  </si>
  <si>
    <t>FLEET1010</t>
  </si>
  <si>
    <t>Body (Vehicle)</t>
  </si>
  <si>
    <t>FLEET1020</t>
  </si>
  <si>
    <t>Chassis (Vehicle)</t>
  </si>
  <si>
    <t>FLEET1030</t>
  </si>
  <si>
    <t>Crane  (Vehicle)</t>
  </si>
  <si>
    <t>FLEET1040</t>
  </si>
  <si>
    <t>Hi Rail (Vehicle)</t>
  </si>
  <si>
    <t>FLEET1050</t>
  </si>
  <si>
    <t>Fleet-Other Matls</t>
  </si>
  <si>
    <t>FLEET2020</t>
  </si>
  <si>
    <t>Vehicle Lease</t>
  </si>
  <si>
    <t>FLEET2030</t>
  </si>
  <si>
    <t>Other Eqpt No Opertr</t>
  </si>
  <si>
    <t>FLEET2040</t>
  </si>
  <si>
    <t>Exec Vehicle</t>
  </si>
  <si>
    <t>FLEET3000</t>
  </si>
  <si>
    <t>Veh/Cmp(Gvwr&gt;3000Kg)</t>
  </si>
  <si>
    <t>FLEET3010</t>
  </si>
  <si>
    <t>Veh/Cmp(Gvwr&lt;3000Kg)</t>
  </si>
  <si>
    <t>FLEET3100</t>
  </si>
  <si>
    <t>Vehupftr Comp&gt;3000Kg</t>
  </si>
  <si>
    <t>FLEET3110</t>
  </si>
  <si>
    <t>Vehupftr Comp&lt;3000Kg</t>
  </si>
  <si>
    <t>FLEET9000</t>
  </si>
  <si>
    <t>Fleet SVC/Contracts</t>
  </si>
  <si>
    <t>FLEET9020</t>
  </si>
  <si>
    <t>FUEL1010</t>
  </si>
  <si>
    <t>Fuel-Diesel Loco</t>
  </si>
  <si>
    <t>FUEL1030</t>
  </si>
  <si>
    <t>Miscellaneous Fuel</t>
  </si>
  <si>
    <t>FUEL1031</t>
  </si>
  <si>
    <t>Misc. Fuel-Gasoline</t>
  </si>
  <si>
    <t>FUEL1032</t>
  </si>
  <si>
    <t>Misc. Fuel Taxable</t>
  </si>
  <si>
    <t>GAS1010</t>
  </si>
  <si>
    <t>Propane</t>
  </si>
  <si>
    <t>GAS1020</t>
  </si>
  <si>
    <t>Oxy/Ace Welding Gas</t>
  </si>
  <si>
    <t>GEN1070</t>
  </si>
  <si>
    <t>Safety Supplies</t>
  </si>
  <si>
    <t>GEN1080</t>
  </si>
  <si>
    <t>Shop Machry &amp; Equip</t>
  </si>
  <si>
    <t>GEN1090</t>
  </si>
  <si>
    <t>Steel</t>
  </si>
  <si>
    <t>GEN1110</t>
  </si>
  <si>
    <t>Mro,Consumables,Tool</t>
  </si>
  <si>
    <t>GEN1140</t>
  </si>
  <si>
    <t>Beverages&amp;Snacks</t>
  </si>
  <si>
    <t>GEN2000</t>
  </si>
  <si>
    <t>Forms</t>
  </si>
  <si>
    <t>GEN2010</t>
  </si>
  <si>
    <t>Furniture</t>
  </si>
  <si>
    <t>GEN2020</t>
  </si>
  <si>
    <t>Office Equipment</t>
  </si>
  <si>
    <t>GEN2030</t>
  </si>
  <si>
    <t>Office Equp&amp;Supplies</t>
  </si>
  <si>
    <t>GEN2035</t>
  </si>
  <si>
    <t>Ink Cartridges Toner</t>
  </si>
  <si>
    <t>GEN2050</t>
  </si>
  <si>
    <t>Promotional Material</t>
  </si>
  <si>
    <t>GEN3000</t>
  </si>
  <si>
    <t>Lube, Oil &amp; Grease</t>
  </si>
  <si>
    <t>GEN3010</t>
  </si>
  <si>
    <t>Oxy/Acetylane</t>
  </si>
  <si>
    <t>GEN9010</t>
  </si>
  <si>
    <t>Env Chgs&amp;Matl Dispsl</t>
  </si>
  <si>
    <t>ITMDL1000</t>
  </si>
  <si>
    <t>Intermodal Equipment</t>
  </si>
  <si>
    <t>ITMDL1010</t>
  </si>
  <si>
    <t>Intmdl Other Parts</t>
  </si>
  <si>
    <t>ITMDL1050</t>
  </si>
  <si>
    <t>Intermodal Leases</t>
  </si>
  <si>
    <t>ITMDL9000</t>
  </si>
  <si>
    <t>Intmdl SVC/Contracts</t>
  </si>
  <si>
    <t>LBR1000</t>
  </si>
  <si>
    <t>Crossing Plank</t>
  </si>
  <si>
    <t>LBR1010</t>
  </si>
  <si>
    <t>Lumber General</t>
  </si>
  <si>
    <t>LBR2000</t>
  </si>
  <si>
    <t>Switch Ties SW Untrd</t>
  </si>
  <si>
    <t>LBR2010</t>
  </si>
  <si>
    <t>Switch Ties SW Trtd</t>
  </si>
  <si>
    <t>LBR2020</t>
  </si>
  <si>
    <t>Switch Ties HW Untrd</t>
  </si>
  <si>
    <t>LBR2030</t>
  </si>
  <si>
    <t>Switch Ties HW Trtd</t>
  </si>
  <si>
    <t>LBR3000</t>
  </si>
  <si>
    <t>Track Ties SW Untrd</t>
  </si>
  <si>
    <t>LBR3010</t>
  </si>
  <si>
    <t>Track Ties SW Trtd</t>
  </si>
  <si>
    <t>LBR3020</t>
  </si>
  <si>
    <t>Track Ties HW Untrd</t>
  </si>
  <si>
    <t>LBR3030</t>
  </si>
  <si>
    <t>Track Ties HW Trtd</t>
  </si>
  <si>
    <t>LBR8000</t>
  </si>
  <si>
    <t>Mrs Ties</t>
  </si>
  <si>
    <t>LOCO1000</t>
  </si>
  <si>
    <t>Locomotive Engine</t>
  </si>
  <si>
    <t>LOCO1005</t>
  </si>
  <si>
    <t>Loco-Turbo Charger</t>
  </si>
  <si>
    <t>LOCO1020</t>
  </si>
  <si>
    <t>Loco-Gen/Alt Parts</t>
  </si>
  <si>
    <t>LOCO1022</t>
  </si>
  <si>
    <t>Generator Sub Compon</t>
  </si>
  <si>
    <t>LOCO1025</t>
  </si>
  <si>
    <t>Loco-Genertr/Altrntr</t>
  </si>
  <si>
    <t>LOCO1030</t>
  </si>
  <si>
    <t>Locomotive Mods.</t>
  </si>
  <si>
    <t>LOCO1040</t>
  </si>
  <si>
    <t>Loco-Tract Mtr Parts</t>
  </si>
  <si>
    <t>LOCO1045</t>
  </si>
  <si>
    <t>Loco-Traction Motor</t>
  </si>
  <si>
    <t>LOCO1050</t>
  </si>
  <si>
    <t>Loco-Truck</t>
  </si>
  <si>
    <t>LOCO1060</t>
  </si>
  <si>
    <t>Loco-Extendd Warrnty</t>
  </si>
  <si>
    <t>LOCO1070</t>
  </si>
  <si>
    <t>Loco. - Other Parts</t>
  </si>
  <si>
    <t>LOCO1080</t>
  </si>
  <si>
    <t>Locomotivetechnology</t>
  </si>
  <si>
    <t>LOCO1090</t>
  </si>
  <si>
    <t>Loco-Air Brake&amp;Comp</t>
  </si>
  <si>
    <t>LOCO2000</t>
  </si>
  <si>
    <t>Loco-Wheel Set Parts</t>
  </si>
  <si>
    <t>LOCO3000</t>
  </si>
  <si>
    <t>Loco-Wheel Sets</t>
  </si>
  <si>
    <t>LOCO4000</t>
  </si>
  <si>
    <t>Locomotive Traction</t>
  </si>
  <si>
    <t>LOCO5000</t>
  </si>
  <si>
    <t>Locomotive Slick</t>
  </si>
  <si>
    <t>LOCO6000</t>
  </si>
  <si>
    <t>Locomotive Air Brake</t>
  </si>
  <si>
    <t>LOCO7000</t>
  </si>
  <si>
    <t>Loco-R&amp;R Components</t>
  </si>
  <si>
    <t>LOCO9000</t>
  </si>
  <si>
    <t>Loco-SVCs&amp;Contracts</t>
  </si>
  <si>
    <t>LUBE1000</t>
  </si>
  <si>
    <t>Loco Lube Oil&amp;Grs</t>
  </si>
  <si>
    <t>LUBE1010</t>
  </si>
  <si>
    <t>Loco Engine Oil</t>
  </si>
  <si>
    <t>LUBE1020</t>
  </si>
  <si>
    <t>Nonloco Lube Oil&amp;Grs</t>
  </si>
  <si>
    <t>MONT1000</t>
  </si>
  <si>
    <t>Montrain</t>
  </si>
  <si>
    <t>OTM1000</t>
  </si>
  <si>
    <t>OTM-Diamonds</t>
  </si>
  <si>
    <t>OTM1010</t>
  </si>
  <si>
    <t>Frogs</t>
  </si>
  <si>
    <t>OTM1020</t>
  </si>
  <si>
    <t>Gauge Rods</t>
  </si>
  <si>
    <t>OTM1030</t>
  </si>
  <si>
    <t>Glued Ins Jnts Assy</t>
  </si>
  <si>
    <t>OTM1040</t>
  </si>
  <si>
    <t>OTM-Other Materials</t>
  </si>
  <si>
    <t>OTM1050</t>
  </si>
  <si>
    <t>Rail Anchors</t>
  </si>
  <si>
    <t>OTM1060</t>
  </si>
  <si>
    <t>Rail Clips</t>
  </si>
  <si>
    <t>OTM1070</t>
  </si>
  <si>
    <t>Tie Plates Rolled</t>
  </si>
  <si>
    <t>OTM1080</t>
  </si>
  <si>
    <t>Track Panels</t>
  </si>
  <si>
    <t>OTM1090</t>
  </si>
  <si>
    <t>Track Signs/Targets</t>
  </si>
  <si>
    <t>OTM1100</t>
  </si>
  <si>
    <t>Track Spikes</t>
  </si>
  <si>
    <t>OTM1110</t>
  </si>
  <si>
    <t>Transition Rails</t>
  </si>
  <si>
    <t>OTM1120</t>
  </si>
  <si>
    <t>Thermite Kits&amp;Hardwr</t>
  </si>
  <si>
    <t>OTM1130</t>
  </si>
  <si>
    <t>Compromise Rail</t>
  </si>
  <si>
    <t>OTM1140</t>
  </si>
  <si>
    <t>Rail Lubricator</t>
  </si>
  <si>
    <t>OTM1150</t>
  </si>
  <si>
    <t>Plates Cast</t>
  </si>
  <si>
    <t>OTM1160</t>
  </si>
  <si>
    <t>Glued Ins Jnt Kits</t>
  </si>
  <si>
    <t>OTM1170</t>
  </si>
  <si>
    <t>Planks</t>
  </si>
  <si>
    <t>OTM2000</t>
  </si>
  <si>
    <t>Frog Packs</t>
  </si>
  <si>
    <t>OTM2010</t>
  </si>
  <si>
    <t>Plates Turnout</t>
  </si>
  <si>
    <t>OTM2020</t>
  </si>
  <si>
    <t>Guard Rail Packs</t>
  </si>
  <si>
    <t>OTM2030</t>
  </si>
  <si>
    <t>Switch Packs</t>
  </si>
  <si>
    <t>OTM3000</t>
  </si>
  <si>
    <t>Track Blts,Scrws,Wsh</t>
  </si>
  <si>
    <t>OTM3010</t>
  </si>
  <si>
    <t>Track Screws</t>
  </si>
  <si>
    <t>OTM3020</t>
  </si>
  <si>
    <t>Track Washers</t>
  </si>
  <si>
    <t>OTM3050</t>
  </si>
  <si>
    <t>Bars Non-Insulated</t>
  </si>
  <si>
    <t>OTM3060</t>
  </si>
  <si>
    <t>OTM-Bars Insulated</t>
  </si>
  <si>
    <t>OTM4000</t>
  </si>
  <si>
    <t>Insulators Con. Ties</t>
  </si>
  <si>
    <t>OTM4010</t>
  </si>
  <si>
    <t>Rail Pads Con. Ties</t>
  </si>
  <si>
    <t>OTM5000</t>
  </si>
  <si>
    <t>Guard Rail</t>
  </si>
  <si>
    <t>OTM5010</t>
  </si>
  <si>
    <t>Stock Rails</t>
  </si>
  <si>
    <t>OTM5020</t>
  </si>
  <si>
    <t>Switch Points</t>
  </si>
  <si>
    <t>OTM5030</t>
  </si>
  <si>
    <t>Turnouts Panli&amp;Prepl</t>
  </si>
  <si>
    <t>OTM5040</t>
  </si>
  <si>
    <t>Saw &amp; Drill Rail</t>
  </si>
  <si>
    <t>OTM5050</t>
  </si>
  <si>
    <t>Switch Stands</t>
  </si>
  <si>
    <t>OTM5060</t>
  </si>
  <si>
    <t>Turnout Kits</t>
  </si>
  <si>
    <t>OTM9000</t>
  </si>
  <si>
    <t>OTM SVC/Contracts</t>
  </si>
  <si>
    <t>PASS1000</t>
  </si>
  <si>
    <t>Passenger Air Brake</t>
  </si>
  <si>
    <t>PASS1010</t>
  </si>
  <si>
    <t>Passenger Othr Parts</t>
  </si>
  <si>
    <t>PASS1020</t>
  </si>
  <si>
    <t>Passenger Electrical</t>
  </si>
  <si>
    <t>PASS3000</t>
  </si>
  <si>
    <t>Passenger Wheel Sets</t>
  </si>
  <si>
    <t>RAIL1000</t>
  </si>
  <si>
    <t>Rail-Field&amp;Yard</t>
  </si>
  <si>
    <t>RAIL8000</t>
  </si>
  <si>
    <t>Mrs Rail</t>
  </si>
  <si>
    <t>RAIL9000</t>
  </si>
  <si>
    <t>Rail Flaw Detection</t>
  </si>
  <si>
    <t>RAIL9010</t>
  </si>
  <si>
    <t>Rail Grinding</t>
  </si>
  <si>
    <t>SCRAP1000</t>
  </si>
  <si>
    <t>Scrap General</t>
  </si>
  <si>
    <t>SIGNA1000</t>
  </si>
  <si>
    <t>Crossing</t>
  </si>
  <si>
    <t>SIGNA1010</t>
  </si>
  <si>
    <t>Signals Crossings</t>
  </si>
  <si>
    <t>SIGNA1020</t>
  </si>
  <si>
    <t>Signals Misc.</t>
  </si>
  <si>
    <t>SIGNA1030</t>
  </si>
  <si>
    <t>Signals Scd</t>
  </si>
  <si>
    <t>SIGNA2000</t>
  </si>
  <si>
    <t>Wayside</t>
  </si>
  <si>
    <t>SIGNA2010</t>
  </si>
  <si>
    <t>Wayside Packages</t>
  </si>
  <si>
    <t>SIGNA2020</t>
  </si>
  <si>
    <t>Detector</t>
  </si>
  <si>
    <t>SIGNA2030</t>
  </si>
  <si>
    <t>Snow Clring Devices</t>
  </si>
  <si>
    <t>SIGNA3000</t>
  </si>
  <si>
    <t>Switch Mach&amp;Hump</t>
  </si>
  <si>
    <t>SIGNA3010</t>
  </si>
  <si>
    <t>Hump Yard</t>
  </si>
  <si>
    <t>SIGNA3020</t>
  </si>
  <si>
    <t>Radio - Locomotive</t>
  </si>
  <si>
    <t>SIGNA3030</t>
  </si>
  <si>
    <t>Radio - Mobile</t>
  </si>
  <si>
    <t>SIGNA3040</t>
  </si>
  <si>
    <t>Radio - Off Hardware</t>
  </si>
  <si>
    <t>SIGNA3050</t>
  </si>
  <si>
    <t>Radio - Portable</t>
  </si>
  <si>
    <t>SIGNA3060</t>
  </si>
  <si>
    <t>Radio Misc.</t>
  </si>
  <si>
    <t>SIGNA4000</t>
  </si>
  <si>
    <t>Telecom - Fots</t>
  </si>
  <si>
    <t>SIGNA4010</t>
  </si>
  <si>
    <t>Telecom - Data</t>
  </si>
  <si>
    <t>SIGNA4020</t>
  </si>
  <si>
    <t>Telecom - Infrstr</t>
  </si>
  <si>
    <t>SIGNA4030</t>
  </si>
  <si>
    <t>Telecom Misc.</t>
  </si>
  <si>
    <t>SIGNA5000</t>
  </si>
  <si>
    <t>Cables &amp; Fibre</t>
  </si>
  <si>
    <t>SIGNA5010</t>
  </si>
  <si>
    <t>Signals - Test Equip</t>
  </si>
  <si>
    <t>SIGNA6010</t>
  </si>
  <si>
    <t>Radio</t>
  </si>
  <si>
    <t>SIGNA6020</t>
  </si>
  <si>
    <t>End Of Train</t>
  </si>
  <si>
    <t>SIGNA6030</t>
  </si>
  <si>
    <t>Beltpack</t>
  </si>
  <si>
    <t>SIGNA7010</t>
  </si>
  <si>
    <t>Structures</t>
  </si>
  <si>
    <t>SIGNA7020</t>
  </si>
  <si>
    <t>Foundations</t>
  </si>
  <si>
    <t>SIGNA8010</t>
  </si>
  <si>
    <t>Parts &amp; Tools</t>
  </si>
  <si>
    <t>SIGNA8020</t>
  </si>
  <si>
    <t>Signs</t>
  </si>
  <si>
    <t>SIGNA9000</t>
  </si>
  <si>
    <t>Signals SVC/Contract</t>
  </si>
  <si>
    <t>SIGNA9020</t>
  </si>
  <si>
    <t>Installation SVCs</t>
  </si>
  <si>
    <t>SIGNA9030</t>
  </si>
  <si>
    <t>Repairs&amp;Warranty</t>
  </si>
  <si>
    <t>SVC9100</t>
  </si>
  <si>
    <t>Administrative</t>
  </si>
  <si>
    <t>SVC9115</t>
  </si>
  <si>
    <t>IT Capacity Cdn SVC</t>
  </si>
  <si>
    <t>SVC9120</t>
  </si>
  <si>
    <t>Consulting</t>
  </si>
  <si>
    <t>SVC9125</t>
  </si>
  <si>
    <t>IT Consulting</t>
  </si>
  <si>
    <t>SVC9126</t>
  </si>
  <si>
    <t>IT Consulting Us</t>
  </si>
  <si>
    <t>SVC9130</t>
  </si>
  <si>
    <t>Lodging</t>
  </si>
  <si>
    <t>SVC9131</t>
  </si>
  <si>
    <t>Lodging-Over 30 Days</t>
  </si>
  <si>
    <t>SVC9132</t>
  </si>
  <si>
    <t>Lodging-Exceptions</t>
  </si>
  <si>
    <t>SVC9160</t>
  </si>
  <si>
    <t>Telecom Infrastr SVC</t>
  </si>
  <si>
    <t>SVC9170</t>
  </si>
  <si>
    <t>Network Infrastr SVC</t>
  </si>
  <si>
    <t>SVC9180</t>
  </si>
  <si>
    <t>Mainfr,Midr,Pc H/W S</t>
  </si>
  <si>
    <t>SVC9190</t>
  </si>
  <si>
    <t>Mainfr,Midr,Pc S/W S</t>
  </si>
  <si>
    <t>SVC9200</t>
  </si>
  <si>
    <t>Environmental</t>
  </si>
  <si>
    <t>SVC9210</t>
  </si>
  <si>
    <t>Facilities Mainten.</t>
  </si>
  <si>
    <t>SVC9240</t>
  </si>
  <si>
    <t>Security Services</t>
  </si>
  <si>
    <t>SVC9250</t>
  </si>
  <si>
    <t>Snow Removal</t>
  </si>
  <si>
    <t>SVC9260</t>
  </si>
  <si>
    <t>Waste Management</t>
  </si>
  <si>
    <t>SVC9270</t>
  </si>
  <si>
    <t>Customs &amp; Duty</t>
  </si>
  <si>
    <t>SVC9280</t>
  </si>
  <si>
    <t>Engineering Cnslting</t>
  </si>
  <si>
    <t>SVC9400</t>
  </si>
  <si>
    <t>General Engineering</t>
  </si>
  <si>
    <t>SVC9401</t>
  </si>
  <si>
    <t>Track Maintenance</t>
  </si>
  <si>
    <t>SVC9411</t>
  </si>
  <si>
    <t>Bridge Maintenance</t>
  </si>
  <si>
    <t>SVC9441</t>
  </si>
  <si>
    <t>Signals &amp; Comm. Mtce</t>
  </si>
  <si>
    <t>SVC9500</t>
  </si>
  <si>
    <t>General Mechanical</t>
  </si>
  <si>
    <t>SVC9531</t>
  </si>
  <si>
    <t>Interm Eqpt Mntce</t>
  </si>
  <si>
    <t>SVC9537</t>
  </si>
  <si>
    <t>Work Equipment Maint</t>
  </si>
  <si>
    <t>SVC9600</t>
  </si>
  <si>
    <t>Gen Rai Lway Optns</t>
  </si>
  <si>
    <t>SVC9683</t>
  </si>
  <si>
    <t>Interm Operation SVC</t>
  </si>
  <si>
    <t>SVC9700</t>
  </si>
  <si>
    <t>Freight Transp.</t>
  </si>
  <si>
    <t>SVC9702</t>
  </si>
  <si>
    <t>Freight Tr. No Tax</t>
  </si>
  <si>
    <t>SVC9703</t>
  </si>
  <si>
    <t>Depreciation</t>
  </si>
  <si>
    <t>SVC9704</t>
  </si>
  <si>
    <t>Property Tax</t>
  </si>
  <si>
    <t>SVC9705</t>
  </si>
  <si>
    <t>Purchase Services</t>
  </si>
  <si>
    <t>TIES1000</t>
  </si>
  <si>
    <t>Ties Other Than Wood</t>
  </si>
  <si>
    <t>TIES2000</t>
  </si>
  <si>
    <t>Steel Ties</t>
  </si>
  <si>
    <t>TIES2010</t>
  </si>
  <si>
    <t>TIES2020</t>
  </si>
  <si>
    <t>TIES2030</t>
  </si>
  <si>
    <t>TIES2040</t>
  </si>
  <si>
    <t>TIES2050</t>
  </si>
  <si>
    <t>TIES2060</t>
  </si>
  <si>
    <t>TIES2070</t>
  </si>
  <si>
    <t>TIES2080</t>
  </si>
  <si>
    <t>TRNS9000</t>
  </si>
  <si>
    <t>Air Freight</t>
  </si>
  <si>
    <t>TRNS9010</t>
  </si>
  <si>
    <t>Courier/Messenger</t>
  </si>
  <si>
    <t>TRNS9020</t>
  </si>
  <si>
    <t>Household Moves</t>
  </si>
  <si>
    <t>TRNS9030</t>
  </si>
  <si>
    <t>Less Than Truck Load</t>
  </si>
  <si>
    <t>TRNS9040</t>
  </si>
  <si>
    <t>Passenger Trnsptn</t>
  </si>
  <si>
    <t>TRNS9050</t>
  </si>
  <si>
    <t>Special Trans SVC</t>
  </si>
  <si>
    <t>TRNS9060</t>
  </si>
  <si>
    <t>Truck Load</t>
  </si>
  <si>
    <t>TRNS9070</t>
  </si>
  <si>
    <t>Fuel Carriers</t>
  </si>
  <si>
    <t>TRNS9071</t>
  </si>
  <si>
    <t>Cancellation Fee</t>
  </si>
  <si>
    <t>TRNS9072</t>
  </si>
  <si>
    <t>Waiting Time</t>
  </si>
  <si>
    <t>TRNS9073</t>
  </si>
  <si>
    <t>Minimum Volume</t>
  </si>
  <si>
    <t>TRNS9074</t>
  </si>
  <si>
    <t>Emergency Call Out</t>
  </si>
  <si>
    <t>TRNS9075</t>
  </si>
  <si>
    <t>Offsite</t>
  </si>
  <si>
    <t>TRNS9076</t>
  </si>
  <si>
    <t>Holiday Or Week-End</t>
  </si>
  <si>
    <t>TRNS9077</t>
  </si>
  <si>
    <t>After Hour</t>
  </si>
  <si>
    <t>TRNS9078</t>
  </si>
  <si>
    <t>Overflow/Other</t>
  </si>
  <si>
    <t>TRNS9079</t>
  </si>
  <si>
    <t>Xborder Fuel Carrier</t>
  </si>
  <si>
    <t>WRK1000</t>
  </si>
  <si>
    <t>Extended Warranty</t>
  </si>
  <si>
    <t>WRK1010</t>
  </si>
  <si>
    <t>W/E-On Track</t>
  </si>
  <si>
    <t>WRK1020</t>
  </si>
  <si>
    <t>W/E-On/Off Track</t>
  </si>
  <si>
    <t>WRK1030</t>
  </si>
  <si>
    <t>Tools - W/E</t>
  </si>
  <si>
    <t>WRK1040</t>
  </si>
  <si>
    <t>W/E-Other Materials</t>
  </si>
  <si>
    <t>WRK2010</t>
  </si>
  <si>
    <t>W/E-On Track Lease</t>
  </si>
  <si>
    <t>WRK2020</t>
  </si>
  <si>
    <t>W/E-Off Track Lease</t>
  </si>
  <si>
    <t>WRK7000</t>
  </si>
  <si>
    <t>W/E-R&amp;R Components</t>
  </si>
  <si>
    <t>WRK9000</t>
  </si>
  <si>
    <t>W/E SVC/Contract</t>
  </si>
  <si>
    <t>Plant Name</t>
  </si>
  <si>
    <t xml:space="preserve"> Tie and Rail Grande Cache</t>
  </si>
  <si>
    <t xml:space="preserve"> 1494-Eastern OTM Montreal</t>
  </si>
  <si>
    <t xml:space="preserve"> 1497 Go Transit Track Material</t>
  </si>
  <si>
    <t xml:space="preserve"> 1498 VIA Material</t>
  </si>
  <si>
    <t xml:space="preserve"> CN Plant Canada Financing Co.</t>
  </si>
  <si>
    <t xml:space="preserve"> CN Plant US Financing Co.</t>
  </si>
  <si>
    <t xml:space="preserve"> Pontiac Work Equipment</t>
  </si>
  <si>
    <t xml:space="preserve"> CN - Storehouse - Joliet</t>
  </si>
  <si>
    <t xml:space="preserve"> US Rail</t>
  </si>
  <si>
    <t xml:space="preserve"> B &amp; B Suprv-Hammond La</t>
  </si>
  <si>
    <t>CM01</t>
  </si>
  <si>
    <t>Consumable Materials</t>
  </si>
  <si>
    <t>CM01  - Consumable Materials</t>
  </si>
  <si>
    <t>CN01</t>
  </si>
  <si>
    <t>Consignment - MRP type of Y2  95% serv.</t>
  </si>
  <si>
    <t>CN01  - Consignment - MRP type of Y2  95% serv.</t>
  </si>
  <si>
    <t>DL01</t>
  </si>
  <si>
    <t>Delete an item</t>
  </si>
  <si>
    <t>DL01  - Delete an item</t>
  </si>
  <si>
    <t>DLY1</t>
  </si>
  <si>
    <t>DLY1  - Delete an item</t>
  </si>
  <si>
    <t>GN01</t>
  </si>
  <si>
    <t>General -  EDI, Auto ROP, Safety Stk</t>
  </si>
  <si>
    <t>GN01  - General -  EDI, Auto ROP, Safety Stk</t>
  </si>
  <si>
    <t>GN02</t>
  </si>
  <si>
    <t>General -  Auto ROP, Safety Stk</t>
  </si>
  <si>
    <t>GN02  - General -  Auto ROP, Safety Stk</t>
  </si>
  <si>
    <t>GNY2</t>
  </si>
  <si>
    <t>GNY2  - General -  Auto ROP, Safety Stk</t>
  </si>
  <si>
    <t>NP01</t>
  </si>
  <si>
    <t>No Planning wheel &amp; track panels Y4</t>
  </si>
  <si>
    <t>NP01  - No Planning wheel &amp; track panels Y4</t>
  </si>
  <si>
    <t>NS01</t>
  </si>
  <si>
    <t>No Planning mtl available to Surplus Z4</t>
  </si>
  <si>
    <t>NS01  - No Planning mtl available to Surplus Z4</t>
  </si>
  <si>
    <t>PS01</t>
  </si>
  <si>
    <t>Protection Stock (Z3) w/ Safety Stk of ?</t>
  </si>
  <si>
    <t>PS02</t>
  </si>
  <si>
    <t>Protection Stock Y6 w/ ROP 1.5 Max of 2</t>
  </si>
  <si>
    <t>PS02  - Protection Stock Y6 w/ ROP 1.5 Max of 2</t>
  </si>
  <si>
    <t>PS03</t>
  </si>
  <si>
    <t>Protection Stock Z6  ROP and Max 1 - 1</t>
  </si>
  <si>
    <t>PS03  - Protection Stock Z6  ROP and Max 1 - 1</t>
  </si>
  <si>
    <t>RR01</t>
  </si>
  <si>
    <t>Repair &amp; Return Z3</t>
  </si>
  <si>
    <t>RR01  - Repair &amp; Return Z3</t>
  </si>
  <si>
    <t>RR02</t>
  </si>
  <si>
    <t>Repair &amp; Return Y3</t>
  </si>
  <si>
    <t>RR02  - Repair &amp; Return Y3</t>
  </si>
  <si>
    <t>SM01</t>
  </si>
  <si>
    <t>Slow Moving Z1</t>
  </si>
  <si>
    <t>SM01  - Slow Moving Z1</t>
  </si>
  <si>
    <t>SM03</t>
  </si>
  <si>
    <t>Slow Moving Z3</t>
  </si>
  <si>
    <t>SM03  - Slow Moving Z3</t>
  </si>
  <si>
    <t>UCST</t>
  </si>
  <si>
    <t>US Costing Ordering+Storage  for STO</t>
  </si>
  <si>
    <t>UCST  - US Costing Ordering+Storage  for STO</t>
  </si>
  <si>
    <t>UCVD</t>
  </si>
  <si>
    <t>US Costing Ordering+Storage  for VENDOR</t>
  </si>
  <si>
    <t>UCVD  - US Costing Ordering+Storage  for VENDOR</t>
  </si>
  <si>
    <t>Z8</t>
  </si>
  <si>
    <t>General - Non-Rolling Stock - Forecasted</t>
  </si>
  <si>
    <t>Z8C</t>
  </si>
  <si>
    <t>General - Rolling Stock - Forecasted</t>
  </si>
  <si>
    <t>Z8C   - General - Rolling Stock - Forecasted</t>
  </si>
  <si>
    <t>ZEXT</t>
  </si>
  <si>
    <t>Extension of CN Materials</t>
  </si>
  <si>
    <t>ZEXT  - Extension of CN Materials</t>
  </si>
  <si>
    <t>Y1</t>
  </si>
  <si>
    <t>CN Manual ROP w/ext no surplus</t>
  </si>
  <si>
    <t>Y2</t>
  </si>
  <si>
    <t>CN Auto ROP w/ext no surplus</t>
  </si>
  <si>
    <t>Y2  - CN Auto ROP w/ext no surplus</t>
  </si>
  <si>
    <t>Y3</t>
  </si>
  <si>
    <t>CN Req Cov Only no surplus</t>
  </si>
  <si>
    <t>Y3  - CN Req Cov Only no surplus</t>
  </si>
  <si>
    <t>Y4</t>
  </si>
  <si>
    <t>No planning no surplus</t>
  </si>
  <si>
    <t>Y4  - No planning no surplus</t>
  </si>
  <si>
    <t>Y5</t>
  </si>
  <si>
    <t>CN Auto ROP TICF w/ext no surp</t>
  </si>
  <si>
    <t>Y6</t>
  </si>
  <si>
    <t>CN Man. ROP no ext/no surplus</t>
  </si>
  <si>
    <t>Y6  - CN Man. ROP no ext/no surplus</t>
  </si>
  <si>
    <t>Y7</t>
  </si>
  <si>
    <t>CN Auto ROP no ext/no surplus</t>
  </si>
  <si>
    <t>Y7  - CN Auto ROP no ext/no surplus</t>
  </si>
  <si>
    <t>Y8</t>
  </si>
  <si>
    <t>CN Auto ROP TICF no ext/no sur</t>
  </si>
  <si>
    <t>Z1</t>
  </si>
  <si>
    <t>CN Manual Reorder Pt w/ext req</t>
  </si>
  <si>
    <t>Z2</t>
  </si>
  <si>
    <t>CN Autom.Reorder Pt w/ext req.</t>
  </si>
  <si>
    <t>Z3</t>
  </si>
  <si>
    <t>CN (Requirement Coverage Only)</t>
  </si>
  <si>
    <t>Z4</t>
  </si>
  <si>
    <t>No planning</t>
  </si>
  <si>
    <t>Z4  - No planning</t>
  </si>
  <si>
    <t>Z5</t>
  </si>
  <si>
    <t>CN Auto.Reorder TICF w/ext req</t>
  </si>
  <si>
    <t>Z6</t>
  </si>
  <si>
    <t>CN Man. Reorder Pt no ext req</t>
  </si>
  <si>
    <t>Z6  - CN Man. Reorder Pt no ext req</t>
  </si>
  <si>
    <t>Z7</t>
  </si>
  <si>
    <t>CN Autom.Reorder Pt no ext req</t>
  </si>
  <si>
    <t>CN Auto.ReorderTICF no ext req</t>
  </si>
  <si>
    <t>7920</t>
  </si>
  <si>
    <t>CN Regular Inventory</t>
  </si>
  <si>
    <t>7920 - CN Regular Inventory</t>
  </si>
  <si>
    <t>9994</t>
  </si>
  <si>
    <t>SCRAP  Rail all ctries</t>
  </si>
  <si>
    <t>9994 - SCRAP  Rail all ctries</t>
  </si>
  <si>
    <t>9995</t>
  </si>
  <si>
    <t>PW rail</t>
  </si>
  <si>
    <t>9995 - PW rail</t>
  </si>
  <si>
    <t>9996</t>
  </si>
  <si>
    <t>CN Rail Inventory</t>
  </si>
  <si>
    <t>9996 - CN Rail Inventory</t>
  </si>
  <si>
    <t>9997</t>
  </si>
  <si>
    <t>CN Lumber Inventory</t>
  </si>
  <si>
    <t>9997 - CN Lumber Inventory</t>
  </si>
  <si>
    <t>9998</t>
  </si>
  <si>
    <t>CN RRS Inventory</t>
  </si>
  <si>
    <t>9998 - CN RRS Inventory</t>
  </si>
  <si>
    <t>9999</t>
  </si>
  <si>
    <t>CN Tie Inventory</t>
  </si>
  <si>
    <t>9999 - CN Tie Inventory</t>
  </si>
  <si>
    <t>01</t>
  </si>
  <si>
    <t>Track And Switch Materials</t>
  </si>
  <si>
    <t>02</t>
  </si>
  <si>
    <t>Telecommunication And Signal Material</t>
  </si>
  <si>
    <t>03</t>
  </si>
  <si>
    <t>Building Materials</t>
  </si>
  <si>
    <t>04</t>
  </si>
  <si>
    <t>Lumber - General Purpose</t>
  </si>
  <si>
    <t>05</t>
  </si>
  <si>
    <t>Ties - Wooden And Concrete</t>
  </si>
  <si>
    <t>06</t>
  </si>
  <si>
    <t>Bridge And Piling Materials</t>
  </si>
  <si>
    <t>07</t>
  </si>
  <si>
    <t>08</t>
  </si>
  <si>
    <t>Rail</t>
  </si>
  <si>
    <t>09</t>
  </si>
  <si>
    <t>Scales-Elevators-Special Machinery Parts</t>
  </si>
  <si>
    <t>10</t>
  </si>
  <si>
    <t>Automotive And Work Equipment</t>
  </si>
  <si>
    <t>11</t>
  </si>
  <si>
    <t>Fasteners</t>
  </si>
  <si>
    <t>12</t>
  </si>
  <si>
    <t>Springs - Freight Cars And Locomotives</t>
  </si>
  <si>
    <t>15</t>
  </si>
  <si>
    <t>Steel Products</t>
  </si>
  <si>
    <t>19</t>
  </si>
  <si>
    <t>Forgings And Castings - Equipment</t>
  </si>
  <si>
    <t>20</t>
  </si>
  <si>
    <t>Freight And Passenger Car Materials</t>
  </si>
  <si>
    <t>21</t>
  </si>
  <si>
    <t>Non-Ferrous Metal Parts</t>
  </si>
  <si>
    <t>22</t>
  </si>
  <si>
    <t>Air Brake Materials</t>
  </si>
  <si>
    <t>23</t>
  </si>
  <si>
    <t>Locomotive Appliances</t>
  </si>
  <si>
    <t>24</t>
  </si>
  <si>
    <t>Passenger Car Trimmings</t>
  </si>
  <si>
    <t>25</t>
  </si>
  <si>
    <t>Electrical Materials</t>
  </si>
  <si>
    <t>26</t>
  </si>
  <si>
    <t>Diesel Locomotive Materials</t>
  </si>
  <si>
    <t>27</t>
  </si>
  <si>
    <t>Gasoline-Naphta-Xylene</t>
  </si>
  <si>
    <t>28</t>
  </si>
  <si>
    <t>Foundry Supplies</t>
  </si>
  <si>
    <t>29</t>
  </si>
  <si>
    <t>Wheels And Axles</t>
  </si>
  <si>
    <t>30</t>
  </si>
  <si>
    <t>Lumber-Cars</t>
  </si>
  <si>
    <t>31</t>
  </si>
  <si>
    <t>Shop Machinery Parts</t>
  </si>
  <si>
    <t>35</t>
  </si>
  <si>
    <t>Cnmarine Materials</t>
  </si>
  <si>
    <t>36</t>
  </si>
  <si>
    <t>Equipment Suppliers - General Purpose</t>
  </si>
  <si>
    <t>37</t>
  </si>
  <si>
    <t>Oils And Greases</t>
  </si>
  <si>
    <t>38</t>
  </si>
  <si>
    <t>Salt And Ice</t>
  </si>
  <si>
    <t>41</t>
  </si>
  <si>
    <t>Commissary Supplies</t>
  </si>
  <si>
    <t>42</t>
  </si>
  <si>
    <t>Plumbing Supplies</t>
  </si>
  <si>
    <t>45</t>
  </si>
  <si>
    <t>Tools And Hardware</t>
  </si>
  <si>
    <t>46</t>
  </si>
  <si>
    <t>Leather And Rubber Products</t>
  </si>
  <si>
    <t>47</t>
  </si>
  <si>
    <t>Chemical And Paint Products</t>
  </si>
  <si>
    <t>48</t>
  </si>
  <si>
    <t>Stationery-Forms And Office Supplies</t>
  </si>
  <si>
    <t>50</t>
  </si>
  <si>
    <t>Scrap Materials</t>
  </si>
  <si>
    <t>60</t>
  </si>
  <si>
    <t>Diesel Oil - Misc. Heating</t>
  </si>
  <si>
    <t>61</t>
  </si>
  <si>
    <t>Diesel Oil</t>
  </si>
  <si>
    <t>63</t>
  </si>
  <si>
    <t>Diesel Oil - Highway Services</t>
  </si>
  <si>
    <t>64</t>
  </si>
  <si>
    <t>Heating Oil</t>
  </si>
  <si>
    <t>66</t>
  </si>
  <si>
    <t>Propane And Natural Gas</t>
  </si>
  <si>
    <t>80</t>
  </si>
  <si>
    <t>Transcona Sawn/Drilled Rail</t>
  </si>
  <si>
    <t>90</t>
  </si>
  <si>
    <t>94</t>
  </si>
  <si>
    <t>Automotive And Truck Leases</t>
  </si>
  <si>
    <t>A31</t>
  </si>
  <si>
    <t xml:space="preserve"> W/E Purch Wpg</t>
  </si>
  <si>
    <t>A70</t>
  </si>
  <si>
    <t xml:space="preserve"> Glt Purchasing</t>
  </si>
  <si>
    <t>C01</t>
  </si>
  <si>
    <t xml:space="preserve"> Fuel Locomotive</t>
  </si>
  <si>
    <t>C02</t>
  </si>
  <si>
    <t xml:space="preserve"> Car Inv.Cntrl</t>
  </si>
  <si>
    <t>C03</t>
  </si>
  <si>
    <t xml:space="preserve"> Technology</t>
  </si>
  <si>
    <t>C04</t>
  </si>
  <si>
    <t xml:space="preserve"> Loco Inv Contr</t>
  </si>
  <si>
    <t>C05</t>
  </si>
  <si>
    <t xml:space="preserve"> Travel Services</t>
  </si>
  <si>
    <t>C06</t>
  </si>
  <si>
    <t xml:space="preserve"> Gen Suppl&amp;Svcs</t>
  </si>
  <si>
    <t>C07</t>
  </si>
  <si>
    <t xml:space="preserve"> Work Equip</t>
  </si>
  <si>
    <t>C08</t>
  </si>
  <si>
    <t xml:space="preserve"> Otm</t>
  </si>
  <si>
    <t>C09</t>
  </si>
  <si>
    <t xml:space="preserve"> Ballast</t>
  </si>
  <si>
    <t>C10</t>
  </si>
  <si>
    <t xml:space="preserve"> Signals &amp; Comm.</t>
  </si>
  <si>
    <t>C11</t>
  </si>
  <si>
    <t xml:space="preserve"> Ties&amp;Wood</t>
  </si>
  <si>
    <t>C12</t>
  </si>
  <si>
    <t xml:space="preserve"> Car</t>
  </si>
  <si>
    <t>C13</t>
  </si>
  <si>
    <t xml:space="preserve"> Locomotive</t>
  </si>
  <si>
    <t>C14</t>
  </si>
  <si>
    <t xml:space="preserve"> Intermodal</t>
  </si>
  <si>
    <t>C15</t>
  </si>
  <si>
    <t xml:space="preserve"> Fuel Misc Lub Gas</t>
  </si>
  <si>
    <t>C16</t>
  </si>
  <si>
    <t xml:space="preserve"> Fleet-Acquisition</t>
  </si>
  <si>
    <t>C17</t>
  </si>
  <si>
    <t xml:space="preserve"> Loco Technology</t>
  </si>
  <si>
    <t>C18</t>
  </si>
  <si>
    <t xml:space="preserve"> Logistics</t>
  </si>
  <si>
    <t>C19</t>
  </si>
  <si>
    <t xml:space="preserve"> Engineering Srvces</t>
  </si>
  <si>
    <t>C20</t>
  </si>
  <si>
    <t xml:space="preserve"> Bridge</t>
  </si>
  <si>
    <t>C21</t>
  </si>
  <si>
    <t xml:space="preserve"> Rail</t>
  </si>
  <si>
    <t>C22</t>
  </si>
  <si>
    <t xml:space="preserve"> Facility Mgmt</t>
  </si>
  <si>
    <t>key_mrp_group</t>
  </si>
  <si>
    <t>name_mrp_group</t>
  </si>
  <si>
    <t>0000</t>
  </si>
  <si>
    <t>External procurement</t>
  </si>
  <si>
    <t>0000 - External procurement</t>
  </si>
  <si>
    <t>0001</t>
  </si>
  <si>
    <t>In-hse prod. w/o indpt reqmts (initial)</t>
  </si>
  <si>
    <t>0002</t>
  </si>
  <si>
    <t>In-house prod. with PIR, gross reqrmnts</t>
  </si>
  <si>
    <t>0003</t>
  </si>
  <si>
    <t>In-house prod. with PIR, net reqrmnts</t>
  </si>
  <si>
    <t>0004</t>
  </si>
  <si>
    <t>Car Planning Strategy 59</t>
  </si>
  <si>
    <t>025A</t>
  </si>
  <si>
    <t>Good Order</t>
  </si>
  <si>
    <t>025B</t>
  </si>
  <si>
    <t>Bad Ordr Storag</t>
  </si>
  <si>
    <t>060A</t>
  </si>
  <si>
    <t>060A-Thor MPCE</t>
  </si>
  <si>
    <t>112A</t>
  </si>
  <si>
    <t>USE 1073 110A</t>
  </si>
  <si>
    <t>114A</t>
  </si>
  <si>
    <t>USE 1084 110A</t>
  </si>
  <si>
    <t>116A</t>
  </si>
  <si>
    <t>USE 1083 110A</t>
  </si>
  <si>
    <t>118A</t>
  </si>
  <si>
    <t>USE 1082 110A</t>
  </si>
  <si>
    <t>120A</t>
  </si>
  <si>
    <t>USE 1171 110A</t>
  </si>
  <si>
    <t>122A</t>
  </si>
  <si>
    <t>USE 1071 110A</t>
  </si>
  <si>
    <t>130F</t>
  </si>
  <si>
    <t>130F-ThorntnFuel</t>
  </si>
  <si>
    <t>N9BA</t>
  </si>
  <si>
    <t>N9BA-Halton sub</t>
  </si>
  <si>
    <t>N9GA</t>
  </si>
  <si>
    <t>N9GA-Dundas sub</t>
  </si>
  <si>
    <t>N9GB</t>
  </si>
  <si>
    <t>N9GB-Dundas sub</t>
  </si>
  <si>
    <t>N9MA</t>
  </si>
  <si>
    <t>N9MA-Kingston</t>
  </si>
  <si>
    <t>N9NA</t>
  </si>
  <si>
    <t>N9NA-Bala sub</t>
  </si>
  <si>
    <t>N9NB</t>
  </si>
  <si>
    <t>N9NB-Bala sub</t>
  </si>
  <si>
    <t>N9NC</t>
  </si>
  <si>
    <t>N9NC-Bala sub</t>
  </si>
  <si>
    <t>N9OA</t>
  </si>
  <si>
    <t>N9OA-Caramat sub</t>
  </si>
  <si>
    <t>N9OB</t>
  </si>
  <si>
    <t>N9OB-Caramat sub</t>
  </si>
  <si>
    <t>N9OC</t>
  </si>
  <si>
    <t>N9OC-Caramat sub</t>
  </si>
  <si>
    <t>N9RA</t>
  </si>
  <si>
    <t>N9RA-Allanwater</t>
  </si>
  <si>
    <t>N9RB</t>
  </si>
  <si>
    <t>N9RB-Allanwater</t>
  </si>
  <si>
    <t>N9UA</t>
  </si>
  <si>
    <t>N9UA-Kashabowie</t>
  </si>
  <si>
    <t>A</t>
  </si>
  <si>
    <t>Ampere</t>
  </si>
  <si>
    <t>ACR</t>
  </si>
  <si>
    <t>Acre</t>
  </si>
  <si>
    <t>AS</t>
  </si>
  <si>
    <t>Assortment</t>
  </si>
  <si>
    <t>AY</t>
  </si>
  <si>
    <t>Assembly</t>
  </si>
  <si>
    <t>BA</t>
  </si>
  <si>
    <t>Bale</t>
  </si>
  <si>
    <t>BAG</t>
  </si>
  <si>
    <t>Bag</t>
  </si>
  <si>
    <t>BAR</t>
  </si>
  <si>
    <t>Bar</t>
  </si>
  <si>
    <t>BK</t>
  </si>
  <si>
    <t>Book</t>
  </si>
  <si>
    <t>BL</t>
  </si>
  <si>
    <t>Block</t>
  </si>
  <si>
    <t>BN</t>
  </si>
  <si>
    <t>Bundle</t>
  </si>
  <si>
    <t>BOT</t>
  </si>
  <si>
    <t>Bottle</t>
  </si>
  <si>
    <t>BOX</t>
  </si>
  <si>
    <t>Box</t>
  </si>
  <si>
    <t>BQL</t>
  </si>
  <si>
    <t>Becquerel/kilogram</t>
  </si>
  <si>
    <t>BR</t>
  </si>
  <si>
    <t>BS</t>
  </si>
  <si>
    <t>Basket</t>
  </si>
  <si>
    <t>C3S</t>
  </si>
  <si>
    <t>Cubic centimeter/second</t>
  </si>
  <si>
    <t>CAN</t>
  </si>
  <si>
    <t>Can</t>
  </si>
  <si>
    <t>CAR</t>
  </si>
  <si>
    <t>Carton</t>
  </si>
  <si>
    <t>CAS</t>
  </si>
  <si>
    <t>Case</t>
  </si>
  <si>
    <t>CB</t>
  </si>
  <si>
    <t>Carboy</t>
  </si>
  <si>
    <t>CCF</t>
  </si>
  <si>
    <t>Cubic Hundred Feet</t>
  </si>
  <si>
    <t>CCM</t>
  </si>
  <si>
    <t>Cubic centimeter</t>
  </si>
  <si>
    <t>CD</t>
  </si>
  <si>
    <t>Candela</t>
  </si>
  <si>
    <t>CEL</t>
  </si>
  <si>
    <t>Cell</t>
  </si>
  <si>
    <t>CFS</t>
  </si>
  <si>
    <t>Cubic feet/second</t>
  </si>
  <si>
    <t>CFU</t>
  </si>
  <si>
    <t>Colony Forming Units/100 mil</t>
  </si>
  <si>
    <t>CH</t>
  </si>
  <si>
    <t>Container</t>
  </si>
  <si>
    <t>CK</t>
  </si>
  <si>
    <t>Cassette</t>
  </si>
  <si>
    <t>CL</t>
  </si>
  <si>
    <t>Centiliter</t>
  </si>
  <si>
    <t>CM</t>
  </si>
  <si>
    <t>Centimeter</t>
  </si>
  <si>
    <t>CM2</t>
  </si>
  <si>
    <t>Square centimeter</t>
  </si>
  <si>
    <t>CMH</t>
  </si>
  <si>
    <t>Centimeter/hour</t>
  </si>
  <si>
    <t>CMS</t>
  </si>
  <si>
    <t>Centimeter/Second</t>
  </si>
  <si>
    <t>CM_</t>
  </si>
  <si>
    <t>Car Miles</t>
  </si>
  <si>
    <t>COI</t>
  </si>
  <si>
    <t>Coil</t>
  </si>
  <si>
    <t>CQ</t>
  </si>
  <si>
    <t>Cartridges</t>
  </si>
  <si>
    <t>CR</t>
  </si>
  <si>
    <t>Car</t>
  </si>
  <si>
    <t>CRD</t>
  </si>
  <si>
    <t>Card</t>
  </si>
  <si>
    <t>CRS</t>
  </si>
  <si>
    <t>Carset</t>
  </si>
  <si>
    <t>CRT</t>
  </si>
  <si>
    <t>Crate</t>
  </si>
  <si>
    <t>CYC</t>
  </si>
  <si>
    <t>Cycle</t>
  </si>
  <si>
    <t>CYL</t>
  </si>
  <si>
    <t>Cylinder</t>
  </si>
  <si>
    <t>D</t>
  </si>
  <si>
    <t>Days</t>
  </si>
  <si>
    <t>DAY</t>
  </si>
  <si>
    <t>DC</t>
  </si>
  <si>
    <t>Disk (Disc)</t>
  </si>
  <si>
    <t>DEG</t>
  </si>
  <si>
    <t>Degree</t>
  </si>
  <si>
    <t>DI</t>
  </si>
  <si>
    <t>Dispenser</t>
  </si>
  <si>
    <t>DM</t>
  </si>
  <si>
    <t>Decimeter</t>
  </si>
  <si>
    <t>DM3</t>
  </si>
  <si>
    <t>Cubic decimeter</t>
  </si>
  <si>
    <t>DO</t>
  </si>
  <si>
    <t>Dollar Basis Amount</t>
  </si>
  <si>
    <t>DRM</t>
  </si>
  <si>
    <t>Drum</t>
  </si>
  <si>
    <t>DUM</t>
  </si>
  <si>
    <t>Diesel Unit Miles</t>
  </si>
  <si>
    <t>DZ</t>
  </si>
  <si>
    <t>Dozen</t>
  </si>
  <si>
    <t>EA</t>
  </si>
  <si>
    <t>Each</t>
  </si>
  <si>
    <t>EML</t>
  </si>
  <si>
    <t>Enzyme Units / Milliliter</t>
  </si>
  <si>
    <t>EU</t>
  </si>
  <si>
    <t>Enzyme Units</t>
  </si>
  <si>
    <t>F</t>
  </si>
  <si>
    <t>Farad</t>
  </si>
  <si>
    <t>FBM</t>
  </si>
  <si>
    <t>Foot Board Measure</t>
  </si>
  <si>
    <t>FL</t>
  </si>
  <si>
    <t>Fuel Litre</t>
  </si>
  <si>
    <t>FOZ</t>
  </si>
  <si>
    <t>Fluid Ounce US</t>
  </si>
  <si>
    <t>FPM</t>
  </si>
  <si>
    <t>Flashes per minute</t>
  </si>
  <si>
    <t>FT</t>
  </si>
  <si>
    <t>Foot</t>
  </si>
  <si>
    <t>FT2</t>
  </si>
  <si>
    <t>Square foot</t>
  </si>
  <si>
    <t>FT3</t>
  </si>
  <si>
    <t>Cubic foot</t>
  </si>
  <si>
    <t>G</t>
  </si>
  <si>
    <t>Gram</t>
  </si>
  <si>
    <t>G/L</t>
  </si>
  <si>
    <t>Gram act.ingrd / liter</t>
  </si>
  <si>
    <t>GAI</t>
  </si>
  <si>
    <t>Gram act. ingrd.</t>
  </si>
  <si>
    <t>GAL</t>
  </si>
  <si>
    <t>US gallon</t>
  </si>
  <si>
    <t>GAU</t>
  </si>
  <si>
    <t>Gram Gold</t>
  </si>
  <si>
    <t>GGA</t>
  </si>
  <si>
    <t>GHG</t>
  </si>
  <si>
    <t>Gram/hectogram</t>
  </si>
  <si>
    <t>GJ</t>
  </si>
  <si>
    <t>Gigajoule</t>
  </si>
  <si>
    <t>GKG</t>
  </si>
  <si>
    <t>Gram/kilogram</t>
  </si>
  <si>
    <t>GLI</t>
  </si>
  <si>
    <t>Gram/liter</t>
  </si>
  <si>
    <t>GM</t>
  </si>
  <si>
    <t>Gram/Mol</t>
  </si>
  <si>
    <t>GM2</t>
  </si>
  <si>
    <t>Gram/square meter</t>
  </si>
  <si>
    <t>GM3</t>
  </si>
  <si>
    <t>Gram/Cubic meter</t>
  </si>
  <si>
    <t>GOH</t>
  </si>
  <si>
    <t>Gigaohm</t>
  </si>
  <si>
    <t>GPD</t>
  </si>
  <si>
    <t>US gallon/day</t>
  </si>
  <si>
    <t>GRO</t>
  </si>
  <si>
    <t>Gross</t>
  </si>
  <si>
    <t>GT</t>
  </si>
  <si>
    <t>Gross Ton</t>
  </si>
  <si>
    <t>GTM</t>
  </si>
  <si>
    <t>Gross Ton Miles</t>
  </si>
  <si>
    <t>H</t>
  </si>
  <si>
    <t>Hour</t>
  </si>
  <si>
    <t>HA</t>
  </si>
  <si>
    <t>Hectare</t>
  </si>
  <si>
    <t>HFT</t>
  </si>
  <si>
    <t>Hundred Feet</t>
  </si>
  <si>
    <t>HL</t>
  </si>
  <si>
    <t>Hectoliter</t>
  </si>
  <si>
    <t>HP</t>
  </si>
  <si>
    <t>Picosecond</t>
  </si>
  <si>
    <t>HPA</t>
  </si>
  <si>
    <t>Hectopascal</t>
  </si>
  <si>
    <t>HPP</t>
  </si>
  <si>
    <t>Horse Power</t>
  </si>
  <si>
    <t>HR</t>
  </si>
  <si>
    <t>Hours</t>
  </si>
  <si>
    <t>HU</t>
  </si>
  <si>
    <t>Hundred</t>
  </si>
  <si>
    <t>HZ</t>
  </si>
  <si>
    <t>Hertz (1/second)</t>
  </si>
  <si>
    <t>IGL</t>
  </si>
  <si>
    <t>Imperial Gallon</t>
  </si>
  <si>
    <t>IGM</t>
  </si>
  <si>
    <t>Imperial gallon/minute</t>
  </si>
  <si>
    <t>INC</t>
  </si>
  <si>
    <t>Inch</t>
  </si>
  <si>
    <t>J</t>
  </si>
  <si>
    <t>Joule</t>
  </si>
  <si>
    <t>JKG</t>
  </si>
  <si>
    <t>Joule/Kilogram</t>
  </si>
  <si>
    <t>JMO</t>
  </si>
  <si>
    <t>Joule/Mol</t>
  </si>
  <si>
    <t>JR</t>
  </si>
  <si>
    <t>Jar</t>
  </si>
  <si>
    <t>JU</t>
  </si>
  <si>
    <t>Jug</t>
  </si>
  <si>
    <t>K</t>
  </si>
  <si>
    <t>Kelvin</t>
  </si>
  <si>
    <t>KA</t>
  </si>
  <si>
    <t>Kiloampere</t>
  </si>
  <si>
    <t>KAI</t>
  </si>
  <si>
    <t>Kilogram act. ingrd.</t>
  </si>
  <si>
    <t>KAN</t>
  </si>
  <si>
    <t>Canister</t>
  </si>
  <si>
    <t>KBK</t>
  </si>
  <si>
    <t>Kilobecquerel/kilogram</t>
  </si>
  <si>
    <t>KD3</t>
  </si>
  <si>
    <t>Kilogram/cubic decimeter</t>
  </si>
  <si>
    <t>KEG</t>
  </si>
  <si>
    <t>Keg</t>
  </si>
  <si>
    <t>KG</t>
  </si>
  <si>
    <t>Kilogram</t>
  </si>
  <si>
    <t>KGF</t>
  </si>
  <si>
    <t>Kilogram/Square meter</t>
  </si>
  <si>
    <t>KGK</t>
  </si>
  <si>
    <t>Kilogram/Kilogram</t>
  </si>
  <si>
    <t>KGM</t>
  </si>
  <si>
    <t>Kilogram/Mol</t>
  </si>
  <si>
    <t>KGS</t>
  </si>
  <si>
    <t>Kilogram/second</t>
  </si>
  <si>
    <t>KGV</t>
  </si>
  <si>
    <t>Kilogram/cubic meter</t>
  </si>
  <si>
    <t>KHZ</t>
  </si>
  <si>
    <t>Kilohertz</t>
  </si>
  <si>
    <t>KIK</t>
  </si>
  <si>
    <t>Kg act.ingrd. / kg</t>
  </si>
  <si>
    <t>KIT</t>
  </si>
  <si>
    <t>Kit</t>
  </si>
  <si>
    <t>KJ</t>
  </si>
  <si>
    <t>Kilojoule</t>
  </si>
  <si>
    <t>KJK</t>
  </si>
  <si>
    <t>Kilojoule/kilogram</t>
  </si>
  <si>
    <t>KJM</t>
  </si>
  <si>
    <t>Kilojoule/Mol</t>
  </si>
  <si>
    <t>KM</t>
  </si>
  <si>
    <t>Miles/Kms</t>
  </si>
  <si>
    <t>KM2</t>
  </si>
  <si>
    <t>Square kilometer</t>
  </si>
  <si>
    <t>KMH</t>
  </si>
  <si>
    <t>Kilometer/hour</t>
  </si>
  <si>
    <t>KMK</t>
  </si>
  <si>
    <t>Cubic meter/Cubic meter</t>
  </si>
  <si>
    <t>KMN</t>
  </si>
  <si>
    <t>Kelvin/Minute</t>
  </si>
  <si>
    <t>KMS</t>
  </si>
  <si>
    <t>Kelvin/Second</t>
  </si>
  <si>
    <t>KOH</t>
  </si>
  <si>
    <t>Kiloohm</t>
  </si>
  <si>
    <t>KPA</t>
  </si>
  <si>
    <t>Kilopascal</t>
  </si>
  <si>
    <t>KV</t>
  </si>
  <si>
    <t>Kilovolt</t>
  </si>
  <si>
    <t>KVA</t>
  </si>
  <si>
    <t>Kilovoltampere</t>
  </si>
  <si>
    <t>KW</t>
  </si>
  <si>
    <t>Kilowatt</t>
  </si>
  <si>
    <t>KWD</t>
  </si>
  <si>
    <t>Kilowatt demand</t>
  </si>
  <si>
    <t>KWH</t>
  </si>
  <si>
    <t>Kilowatt hours</t>
  </si>
  <si>
    <t>L</t>
  </si>
  <si>
    <t>Liter</t>
  </si>
  <si>
    <t>LB</t>
  </si>
  <si>
    <t>US pound</t>
  </si>
  <si>
    <t>LF</t>
  </si>
  <si>
    <t>Linear Foot</t>
  </si>
  <si>
    <t>LG</t>
  </si>
  <si>
    <t>Length</t>
  </si>
  <si>
    <t>LMI</t>
  </si>
  <si>
    <t>Liter/Minute</t>
  </si>
  <si>
    <t>LMS</t>
  </si>
  <si>
    <t>Liter/Molsecond</t>
  </si>
  <si>
    <t>LOT</t>
  </si>
  <si>
    <t>LTR</t>
  </si>
  <si>
    <t>M</t>
  </si>
  <si>
    <t>Meter</t>
  </si>
  <si>
    <t>M%</t>
  </si>
  <si>
    <t>Percent mass</t>
  </si>
  <si>
    <t>M%O</t>
  </si>
  <si>
    <t>Permille mass</t>
  </si>
  <si>
    <t>M/H</t>
  </si>
  <si>
    <t>Meter/Hour</t>
  </si>
  <si>
    <t>M/M</t>
  </si>
  <si>
    <t>Meter/Minute</t>
  </si>
  <si>
    <t>M/S</t>
  </si>
  <si>
    <t>Meter/second</t>
  </si>
  <si>
    <t>M2</t>
  </si>
  <si>
    <t>Square meter</t>
  </si>
  <si>
    <t>M2S</t>
  </si>
  <si>
    <t>Square meter/second</t>
  </si>
  <si>
    <t>M3</t>
  </si>
  <si>
    <t>Cubic meter</t>
  </si>
  <si>
    <t>M3H</t>
  </si>
  <si>
    <t>Cubic meter/Hour</t>
  </si>
  <si>
    <t>M3S</t>
  </si>
  <si>
    <t>Cubic meter/second</t>
  </si>
  <si>
    <t>MA</t>
  </si>
  <si>
    <t>Milliampere</t>
  </si>
  <si>
    <t>MB</t>
  </si>
  <si>
    <t>Thousand Foot Board Measure</t>
  </si>
  <si>
    <t>MBA</t>
  </si>
  <si>
    <t>Millibar</t>
  </si>
  <si>
    <t>MBZ</t>
  </si>
  <si>
    <t>Meterbar/second</t>
  </si>
  <si>
    <t>MEJ</t>
  </si>
  <si>
    <t>Megajoule</t>
  </si>
  <si>
    <t>MFT</t>
  </si>
  <si>
    <t>Thousand Feet</t>
  </si>
  <si>
    <t>MG</t>
  </si>
  <si>
    <t>Milligram</t>
  </si>
  <si>
    <t>MGD</t>
  </si>
  <si>
    <t>Million US gal/day</t>
  </si>
  <si>
    <t>MGF</t>
  </si>
  <si>
    <t>Milligram/Square centimeter</t>
  </si>
  <si>
    <t>MGG</t>
  </si>
  <si>
    <t>Milligram/gram</t>
  </si>
  <si>
    <t>MGK</t>
  </si>
  <si>
    <t>Milligram/kilogram</t>
  </si>
  <si>
    <t>MGL</t>
  </si>
  <si>
    <t>Milligram/liter</t>
  </si>
  <si>
    <t>MGO</t>
  </si>
  <si>
    <t>Megohm</t>
  </si>
  <si>
    <t>MGQ</t>
  </si>
  <si>
    <t>Milligram/cubic meter</t>
  </si>
  <si>
    <t>MGW</t>
  </si>
  <si>
    <t>Megawatt</t>
  </si>
  <si>
    <t>MHV</t>
  </si>
  <si>
    <t>Megavolt</t>
  </si>
  <si>
    <t>MHZ</t>
  </si>
  <si>
    <t>Megahertz</t>
  </si>
  <si>
    <t>MI</t>
  </si>
  <si>
    <t>Mile</t>
  </si>
  <si>
    <t>MI2</t>
  </si>
  <si>
    <t>Square mile</t>
  </si>
  <si>
    <t>MIJ</t>
  </si>
  <si>
    <t>Millijoule</t>
  </si>
  <si>
    <t>MIN</t>
  </si>
  <si>
    <t>Minute</t>
  </si>
  <si>
    <t>MIS</t>
  </si>
  <si>
    <t>Microsecond</t>
  </si>
  <si>
    <t>ML</t>
  </si>
  <si>
    <t>Milliliter</t>
  </si>
  <si>
    <t>MLI</t>
  </si>
  <si>
    <t>Milliliter act. ingr.</t>
  </si>
  <si>
    <t>MLK</t>
  </si>
  <si>
    <t>Milliliter/cubic meter</t>
  </si>
  <si>
    <t>MLL</t>
  </si>
  <si>
    <t>Milliliter / liter</t>
  </si>
  <si>
    <t>MM</t>
  </si>
  <si>
    <t>Millimeter</t>
  </si>
  <si>
    <t>MM2</t>
  </si>
  <si>
    <t>Square millimeter</t>
  </si>
  <si>
    <t>MM3</t>
  </si>
  <si>
    <t>Cubic millimeter</t>
  </si>
  <si>
    <t>MMA</t>
  </si>
  <si>
    <t>Millimeter/year</t>
  </si>
  <si>
    <t>MMG</t>
  </si>
  <si>
    <t>Millimol/gram</t>
  </si>
  <si>
    <t>MMH</t>
  </si>
  <si>
    <t>Millimeter/hour</t>
  </si>
  <si>
    <t>MMK</t>
  </si>
  <si>
    <t>Millimol/kilogram</t>
  </si>
  <si>
    <t>MMO</t>
  </si>
  <si>
    <t>Millimol</t>
  </si>
  <si>
    <t>MMS</t>
  </si>
  <si>
    <t>Millimeter/second</t>
  </si>
  <si>
    <t>MN</t>
  </si>
  <si>
    <t>Meganewton</t>
  </si>
  <si>
    <t>MNM</t>
  </si>
  <si>
    <t>Millinewton/meter</t>
  </si>
  <si>
    <t>MOK</t>
  </si>
  <si>
    <t>Mol/kilogram</t>
  </si>
  <si>
    <t>MOL</t>
  </si>
  <si>
    <t>Mol</t>
  </si>
  <si>
    <t>MON</t>
  </si>
  <si>
    <t>Months</t>
  </si>
  <si>
    <t>MPA</t>
  </si>
  <si>
    <t>Megapascal</t>
  </si>
  <si>
    <t>MPB</t>
  </si>
  <si>
    <t>Mass parts per billion</t>
  </si>
  <si>
    <t>MPH</t>
  </si>
  <si>
    <t>Miles per hour</t>
  </si>
  <si>
    <t>MPM</t>
  </si>
  <si>
    <t>Mass parts per million</t>
  </si>
  <si>
    <t>MPN</t>
  </si>
  <si>
    <t>Most Probable Number</t>
  </si>
  <si>
    <t>MPS</t>
  </si>
  <si>
    <t>Millipascal seconds</t>
  </si>
  <si>
    <t>MPT</t>
  </si>
  <si>
    <t>Mass parts per trillion</t>
  </si>
  <si>
    <t>MPZ</t>
  </si>
  <si>
    <t>Meterpascal/second</t>
  </si>
  <si>
    <t>MS</t>
  </si>
  <si>
    <t>Millisecond</t>
  </si>
  <si>
    <t>MS2</t>
  </si>
  <si>
    <t>Meter/second squared</t>
  </si>
  <si>
    <t>MTE</t>
  </si>
  <si>
    <t>Millitesla</t>
  </si>
  <si>
    <t>MTK</t>
  </si>
  <si>
    <t>Metric ton kilograms</t>
  </si>
  <si>
    <t>MUS</t>
  </si>
  <si>
    <t>Million US gallons</t>
  </si>
  <si>
    <t>MV</t>
  </si>
  <si>
    <t>Millivolt</t>
  </si>
  <si>
    <t>MW</t>
  </si>
  <si>
    <t>Milliwatt</t>
  </si>
  <si>
    <t>MWH</t>
  </si>
  <si>
    <t>Megawatt hours</t>
  </si>
  <si>
    <t>N</t>
  </si>
  <si>
    <t>Newton</t>
  </si>
  <si>
    <t>NA</t>
  </si>
  <si>
    <t>Not Applicable</t>
  </si>
  <si>
    <t>NAM</t>
  </si>
  <si>
    <t>Nanometer</t>
  </si>
  <si>
    <t>NAN</t>
  </si>
  <si>
    <t>Nanoampere</t>
  </si>
  <si>
    <t>NI</t>
  </si>
  <si>
    <t>Kilonewton</t>
  </si>
  <si>
    <t>NM</t>
  </si>
  <si>
    <t>Newton/meter</t>
  </si>
  <si>
    <t>NMM</t>
  </si>
  <si>
    <t>Newton/Square millimeter</t>
  </si>
  <si>
    <t>NS</t>
  </si>
  <si>
    <t>Nanosecond</t>
  </si>
  <si>
    <t>NT</t>
  </si>
  <si>
    <t>Net Ton</t>
  </si>
  <si>
    <t>NTU</t>
  </si>
  <si>
    <t>Nephelometric Turbidity Units</t>
  </si>
  <si>
    <t>OHM</t>
  </si>
  <si>
    <t>Ohm</t>
  </si>
  <si>
    <t>ONE</t>
  </si>
  <si>
    <t>One</t>
  </si>
  <si>
    <t>OZ</t>
  </si>
  <si>
    <t>Ounce</t>
  </si>
  <si>
    <t>P</t>
  </si>
  <si>
    <t>Points</t>
  </si>
  <si>
    <t>PA</t>
  </si>
  <si>
    <t>Pascal</t>
  </si>
  <si>
    <t>PAA</t>
  </si>
  <si>
    <t>Pair</t>
  </si>
  <si>
    <t>PAC</t>
  </si>
  <si>
    <t>Pack</t>
  </si>
  <si>
    <t>PAD</t>
  </si>
  <si>
    <t>Pad</t>
  </si>
  <si>
    <t>PAI</t>
  </si>
  <si>
    <t>Pail</t>
  </si>
  <si>
    <t>PAL</t>
  </si>
  <si>
    <t>Pallet</t>
  </si>
  <si>
    <t>PAS</t>
  </si>
  <si>
    <t>Pascal second</t>
  </si>
  <si>
    <t>PC</t>
  </si>
  <si>
    <t>Piece</t>
  </si>
  <si>
    <t>PCT</t>
  </si>
  <si>
    <t>Megavoltampere</t>
  </si>
  <si>
    <t>PH</t>
  </si>
  <si>
    <t>pH</t>
  </si>
  <si>
    <t>PKG</t>
  </si>
  <si>
    <t>Package</t>
  </si>
  <si>
    <t>PMI</t>
  </si>
  <si>
    <t>1/minute</t>
  </si>
  <si>
    <t>PO</t>
  </si>
  <si>
    <t>Pikofarad</t>
  </si>
  <si>
    <t>PPB</t>
  </si>
  <si>
    <t>Parts per billion</t>
  </si>
  <si>
    <t>PPM</t>
  </si>
  <si>
    <t>Parts per million</t>
  </si>
  <si>
    <t>PPT</t>
  </si>
  <si>
    <t>Parts per trillion</t>
  </si>
  <si>
    <t>PRS</t>
  </si>
  <si>
    <t>Number of persons</t>
  </si>
  <si>
    <t>PSI</t>
  </si>
  <si>
    <t>Pounds/Square inch</t>
  </si>
  <si>
    <t>PT</t>
  </si>
  <si>
    <t>Pint, US liquid</t>
  </si>
  <si>
    <t>PU</t>
  </si>
  <si>
    <t>Power unit</t>
  </si>
  <si>
    <t>QML</t>
  </si>
  <si>
    <t>Kilomol</t>
  </si>
  <si>
    <t>QT</t>
  </si>
  <si>
    <t>Quart, US liquid</t>
  </si>
  <si>
    <t>QY</t>
  </si>
  <si>
    <t>Quarterly</t>
  </si>
  <si>
    <t>R-U</t>
  </si>
  <si>
    <t>Nanofarad</t>
  </si>
  <si>
    <t>RD</t>
  </si>
  <si>
    <t>Rod</t>
  </si>
  <si>
    <t>RE</t>
  </si>
  <si>
    <t>Reel</t>
  </si>
  <si>
    <t>RF</t>
  </si>
  <si>
    <t>Millifarad</t>
  </si>
  <si>
    <t>RHO</t>
  </si>
  <si>
    <t>Gramm/Cubic centimeter</t>
  </si>
  <si>
    <t>RM</t>
  </si>
  <si>
    <t>Ream</t>
  </si>
  <si>
    <t>ROL</t>
  </si>
  <si>
    <t>Roll</t>
  </si>
  <si>
    <t>S</t>
  </si>
  <si>
    <t>Second</t>
  </si>
  <si>
    <t>SE</t>
  </si>
  <si>
    <t>Section</t>
  </si>
  <si>
    <t>SEC</t>
  </si>
  <si>
    <t>Seconds</t>
  </si>
  <si>
    <t>SET</t>
  </si>
  <si>
    <t>Set</t>
  </si>
  <si>
    <t>SHT</t>
  </si>
  <si>
    <t>Sheet</t>
  </si>
  <si>
    <t>SK</t>
  </si>
  <si>
    <t>Split Tanktruck</t>
  </si>
  <si>
    <t>SP</t>
  </si>
  <si>
    <t>Spool</t>
  </si>
  <si>
    <t>SPK</t>
  </si>
  <si>
    <t>Shelf Package</t>
  </si>
  <si>
    <t>TB</t>
  </si>
  <si>
    <t>Tubes</t>
  </si>
  <si>
    <t>TC3</t>
  </si>
  <si>
    <t>1/cubic centimeter</t>
  </si>
  <si>
    <t>TCF</t>
  </si>
  <si>
    <t>Thousand Cubic feet</t>
  </si>
  <si>
    <t>TCU</t>
  </si>
  <si>
    <t>True Colour Units</t>
  </si>
  <si>
    <t>TD</t>
  </si>
  <si>
    <t>Therms</t>
  </si>
  <si>
    <t>TE</t>
  </si>
  <si>
    <t>Tote</t>
  </si>
  <si>
    <t>TES</t>
  </si>
  <si>
    <t>Tesla</t>
  </si>
  <si>
    <t>TK</t>
  </si>
  <si>
    <t>Tank</t>
  </si>
  <si>
    <t>TM</t>
  </si>
  <si>
    <t>Train Miles</t>
  </si>
  <si>
    <t>TM3</t>
  </si>
  <si>
    <t>1/cubic meter</t>
  </si>
  <si>
    <t>TO</t>
  </si>
  <si>
    <t>Tonnes</t>
  </si>
  <si>
    <t>TOM</t>
  </si>
  <si>
    <t>Ton/Cubic meter</t>
  </si>
  <si>
    <t>TON</t>
  </si>
  <si>
    <t>US ton</t>
  </si>
  <si>
    <t>TS</t>
  </si>
  <si>
    <t>Thousand</t>
  </si>
  <si>
    <t>UGM</t>
  </si>
  <si>
    <t>US gallon/minute</t>
  </si>
  <si>
    <t>UN</t>
  </si>
  <si>
    <t>UNIT</t>
  </si>
  <si>
    <t>V</t>
  </si>
  <si>
    <t>Volts</t>
  </si>
  <si>
    <t>V%</t>
  </si>
  <si>
    <t>Percent volume</t>
  </si>
  <si>
    <t>V%O</t>
  </si>
  <si>
    <t>Permille volume</t>
  </si>
  <si>
    <t>VAL</t>
  </si>
  <si>
    <t>VO mat.</t>
  </si>
  <si>
    <t>VPB</t>
  </si>
  <si>
    <t>Volume parts per billion</t>
  </si>
  <si>
    <t>VPM</t>
  </si>
  <si>
    <t>Volume parts per million</t>
  </si>
  <si>
    <t>VPT</t>
  </si>
  <si>
    <t>Volume parts per trillion</t>
  </si>
  <si>
    <t>W</t>
  </si>
  <si>
    <t>Watt</t>
  </si>
  <si>
    <t>WDA</t>
  </si>
  <si>
    <t>Work Day (8 hours)</t>
  </si>
  <si>
    <t>WK</t>
  </si>
  <si>
    <t>Weeks</t>
  </si>
  <si>
    <t>YD</t>
  </si>
  <si>
    <t>Yard</t>
  </si>
  <si>
    <t>YD2</t>
  </si>
  <si>
    <t>Square Yard</t>
  </si>
  <si>
    <t>YD3</t>
  </si>
  <si>
    <t>Cubic yard</t>
  </si>
  <si>
    <t>YR</t>
  </si>
  <si>
    <t>Years</t>
  </si>
  <si>
    <t>°C</t>
  </si>
  <si>
    <t>Degrees Celsius</t>
  </si>
  <si>
    <t>°F</t>
  </si>
  <si>
    <t>Fahrenheit</t>
  </si>
  <si>
    <t>µA</t>
  </si>
  <si>
    <t>Microampere</t>
  </si>
  <si>
    <t>µF</t>
  </si>
  <si>
    <t>Microfarad</t>
  </si>
  <si>
    <t>µGL</t>
  </si>
  <si>
    <t>Microgram/liter</t>
  </si>
  <si>
    <t>µGQ</t>
  </si>
  <si>
    <t>Microgram/cubic meter</t>
  </si>
  <si>
    <t>µL</t>
  </si>
  <si>
    <t>Microliter</t>
  </si>
  <si>
    <t>µM</t>
  </si>
  <si>
    <t>Micrometer</t>
  </si>
  <si>
    <t>SharePoin List Link</t>
  </si>
  <si>
    <t>http://team.cn.ca/sites/ops/sm/Lists/MD_Plants/AllItems.aspx</t>
  </si>
  <si>
    <t xml:space="preserve"> BC South-West</t>
  </si>
  <si>
    <t xml:space="preserve"> CN Loco Fuel</t>
  </si>
  <si>
    <t xml:space="preserve"> CN Thorton Car</t>
  </si>
  <si>
    <t xml:space="preserve"> BC South-East</t>
  </si>
  <si>
    <t xml:space="preserve"> BC North Pr. George</t>
  </si>
  <si>
    <t xml:space="preserve"> BC Pr. George Motive Power</t>
  </si>
  <si>
    <t xml:space="preserve"> BC Prince George Car Shop</t>
  </si>
  <si>
    <t xml:space="preserve"> BC Prince George WhShop</t>
  </si>
  <si>
    <t xml:space="preserve"> BC Pr George Wrk Equip Shop</t>
  </si>
  <si>
    <t xml:space="preserve"> BC Kamloops Wrk Equip Shop</t>
  </si>
  <si>
    <t xml:space="preserve"> Smithers DTL</t>
  </si>
  <si>
    <t xml:space="preserve"> Valemont DTL</t>
  </si>
  <si>
    <t xml:space="preserve"> Roberts Bank DTL</t>
  </si>
  <si>
    <t xml:space="preserve"> Vernon DTL</t>
  </si>
  <si>
    <t xml:space="preserve"> BC North Ft St-John Fuel</t>
  </si>
  <si>
    <t xml:space="preserve"> NorthVancouver DTL</t>
  </si>
  <si>
    <t xml:space="preserve"> Dawson Creek DTL</t>
  </si>
  <si>
    <t xml:space="preserve"> Quesnel DTL</t>
  </si>
  <si>
    <t xml:space="preserve"> Fort St. James DTL</t>
  </si>
  <si>
    <t xml:space="preserve"> Mackenzie DTL</t>
  </si>
  <si>
    <t xml:space="preserve"> Pemberton DTL</t>
  </si>
  <si>
    <t xml:space="preserve"> Lillooet DTL</t>
  </si>
  <si>
    <t xml:space="preserve"> Fort Nelson DTL</t>
  </si>
  <si>
    <t xml:space="preserve"> Exeter DTL</t>
  </si>
  <si>
    <t xml:space="preserve"> Prince Rupert DTL</t>
  </si>
  <si>
    <t xml:space="preserve"> Williams Lake DTL</t>
  </si>
  <si>
    <t xml:space="preserve"> Ridley Island DTL</t>
  </si>
  <si>
    <t xml:space="preserve"> Track Suprv-Vancouver</t>
  </si>
  <si>
    <t xml:space="preserve"> Track Suprv-Yale</t>
  </si>
  <si>
    <t xml:space="preserve"> Track Suprv-Ashcroft</t>
  </si>
  <si>
    <t xml:space="preserve"> Track Suprv-Clearwater</t>
  </si>
  <si>
    <t xml:space="preserve"> Track Suprv-Okan/Lumby</t>
  </si>
  <si>
    <t xml:space="preserve"> Rail - Squamish</t>
  </si>
  <si>
    <t xml:space="preserve"> Track Suprv-Squamish</t>
  </si>
  <si>
    <t xml:space="preserve"> Trk Supvr-Pr. George</t>
  </si>
  <si>
    <t xml:space="preserve"> BColumbia Ties</t>
  </si>
  <si>
    <t xml:space="preserve"> Trk Supvr - BULKLEY</t>
  </si>
  <si>
    <t xml:space="preserve"> Trk Supvr-SKEENA/KITIMAT</t>
  </si>
  <si>
    <t xml:space="preserve"> Track Supvr - NECHAKO</t>
  </si>
  <si>
    <t xml:space="preserve"> Track Suprv-Fraser</t>
  </si>
  <si>
    <t xml:space="preserve"> Track Supvr - TELKWA</t>
  </si>
  <si>
    <t xml:space="preserve"> TS-FtNelsonFtStJohn</t>
  </si>
  <si>
    <t xml:space="preserve"> TS-ChetwyndStuartTumbler</t>
  </si>
  <si>
    <t xml:space="preserve"> TS-ChetwyndMackenzieDawson</t>
  </si>
  <si>
    <t xml:space="preserve"> BColumbia Ballast Plt</t>
  </si>
  <si>
    <t xml:space="preserve"> B&amp;S Kamloops</t>
  </si>
  <si>
    <t xml:space="preserve"> BColumbia Project Stock</t>
  </si>
  <si>
    <t xml:space="preserve"> AB Walker  Yard Diesel</t>
  </si>
  <si>
    <t xml:space="preserve"> AB Walker  Yard Car</t>
  </si>
  <si>
    <t xml:space="preserve"> AB Bissell Diesel Fuel</t>
  </si>
  <si>
    <t xml:space="preserve"> Work Equip Edmonton</t>
  </si>
  <si>
    <t xml:space="preserve"> AB Calgary Yard Car</t>
  </si>
  <si>
    <t xml:space="preserve"> New Sarepta DTL</t>
  </si>
  <si>
    <t xml:space="preserve"> Ram River DTL</t>
  </si>
  <si>
    <t xml:space="preserve"> Strachan DTL</t>
  </si>
  <si>
    <t xml:space="preserve"> Scotford DTL</t>
  </si>
  <si>
    <t xml:space="preserve"> Grande Prairie DTL</t>
  </si>
  <si>
    <t xml:space="preserve"> Red Deer DTL</t>
  </si>
  <si>
    <t xml:space="preserve"> Hinton DTL</t>
  </si>
  <si>
    <t xml:space="preserve"> Mirror DTL</t>
  </si>
  <si>
    <t xml:space="preserve"> Holloway DTL</t>
  </si>
  <si>
    <t xml:space="preserve"> Swan Landing DTL</t>
  </si>
  <si>
    <t xml:space="preserve"> Wainwright DTL</t>
  </si>
  <si>
    <t xml:space="preserve"> Vermillion DTL</t>
  </si>
  <si>
    <t xml:space="preserve"> Obed DTL</t>
  </si>
  <si>
    <t xml:space="preserve"> Lac La Biche DTL</t>
  </si>
  <si>
    <t xml:space="preserve"> Fort McMurray DTL</t>
  </si>
  <si>
    <t xml:space="preserve"> Boyle DTL</t>
  </si>
  <si>
    <t xml:space="preserve"> Conklin DTL</t>
  </si>
  <si>
    <t xml:space="preserve"> McLennan DTL</t>
  </si>
  <si>
    <t xml:space="preserve"> Roma Jct DTL</t>
  </si>
  <si>
    <t xml:space="preserve"> Smith DTL</t>
  </si>
  <si>
    <t xml:space="preserve"> Viking DTL</t>
  </si>
  <si>
    <t xml:space="preserve"> Winniandy DTL</t>
  </si>
  <si>
    <t xml:space="preserve"> Track Suprv-Albreda</t>
  </si>
  <si>
    <t xml:space="preserve"> Track Suprv-West Edson</t>
  </si>
  <si>
    <t xml:space="preserve"> Track Suprv-East Edson</t>
  </si>
  <si>
    <t xml:space="preserve"> TS Foothills Mtn Park</t>
  </si>
  <si>
    <t xml:space="preserve"> Track Suprv-Sangudo/West</t>
  </si>
  <si>
    <t xml:space="preserve"> Track Suprv-Lac La Biche</t>
  </si>
  <si>
    <t xml:space="preserve"> Track Suprv-Mann/Meander</t>
  </si>
  <si>
    <t xml:space="preserve"> Track Suprv-Calgary</t>
  </si>
  <si>
    <t xml:space="preserve"> TS-Camrose Braz Alliance</t>
  </si>
  <si>
    <t xml:space="preserve"> TS - Vegreville Scotford</t>
  </si>
  <si>
    <t xml:space="preserve"> Track Spv Grande Prairie</t>
  </si>
  <si>
    <t xml:space="preserve"> Track Suprv-Edm Trm</t>
  </si>
  <si>
    <t xml:space="preserve"> Track Suprv- Peace River</t>
  </si>
  <si>
    <t xml:space="preserve"> TS Blackfoot</t>
  </si>
  <si>
    <t xml:space="preserve"> Track Suprv-W-Wainwright</t>
  </si>
  <si>
    <t xml:space="preserve"> Alberta Ballast Plant</t>
  </si>
  <si>
    <t xml:space="preserve"> Alberta Spec Projects</t>
  </si>
  <si>
    <t xml:space="preserve"> B&amp;S Alberta South</t>
  </si>
  <si>
    <t xml:space="preserve"> B&amp;S Alberta North</t>
  </si>
  <si>
    <t xml:space="preserve"> SK Saskatoon MPCE</t>
  </si>
  <si>
    <t xml:space="preserve"> SK Melville MPCE</t>
  </si>
  <si>
    <t xml:space="preserve"> Biggar DTL</t>
  </si>
  <si>
    <t xml:space="preserve"> Humboldt DTL</t>
  </si>
  <si>
    <t xml:space="preserve"> Lloydminster DTL</t>
  </si>
  <si>
    <t xml:space="preserve"> Unity DTL</t>
  </si>
  <si>
    <t xml:space="preserve"> Raymore DTL</t>
  </si>
  <si>
    <t xml:space="preserve"> Track Suprv-E-Wainwright</t>
  </si>
  <si>
    <t xml:space="preserve"> Track Suprv-Rosetown</t>
  </si>
  <si>
    <t xml:space="preserve"> Track Suprv-Saskatoon</t>
  </si>
  <si>
    <t xml:space="preserve"> Track Suprv-N Battleford</t>
  </si>
  <si>
    <t xml:space="preserve"> Track Suprv-Regina</t>
  </si>
  <si>
    <t xml:space="preserve"> Track Suprv-W-Melville</t>
  </si>
  <si>
    <t xml:space="preserve"> Track Suprv-Rivers West</t>
  </si>
  <si>
    <t xml:space="preserve"> Track Suprv-Hudson Bay</t>
  </si>
  <si>
    <t xml:space="preserve"> SK Ballast Plant</t>
  </si>
  <si>
    <t xml:space="preserve"> MB Symington Yard</t>
  </si>
  <si>
    <t xml:space="preserve"> MB Symington Yard  Car</t>
  </si>
  <si>
    <t xml:space="preserve"> MB Symington Yard CF</t>
  </si>
  <si>
    <t xml:space="preserve"> Safetran Canada Inc.</t>
  </si>
  <si>
    <t xml:space="preserve"> MB Air Brake Shop</t>
  </si>
  <si>
    <t xml:space="preserve"> MB Traction Motor Shop</t>
  </si>
  <si>
    <t xml:space="preserve"> MB Motive Power Shop</t>
  </si>
  <si>
    <t xml:space="preserve"> MB Car Shop</t>
  </si>
  <si>
    <t xml:space="preserve"> MB Wheel Shop</t>
  </si>
  <si>
    <t xml:space="preserve"> Transcona Yard</t>
  </si>
  <si>
    <t xml:space="preserve"> MB Work Equipment</t>
  </si>
  <si>
    <t xml:space="preserve"> MB Railyard</t>
  </si>
  <si>
    <t xml:space="preserve"> Swan River DTL</t>
  </si>
  <si>
    <t xml:space="preserve"> Western S&amp;C</t>
  </si>
  <si>
    <t xml:space="preserve"> Western OTM Material</t>
  </si>
  <si>
    <t xml:space="preserve"> The Pas DTL Fuel</t>
  </si>
  <si>
    <t xml:space="preserve"> OTM Minor Bulk West</t>
  </si>
  <si>
    <t xml:space="preserve"> Track Suprv-Dauphin</t>
  </si>
  <si>
    <t xml:space="preserve"> Track Suprv-Rivers East</t>
  </si>
  <si>
    <t xml:space="preserve"> Track Suprv-Brandon</t>
  </si>
  <si>
    <t xml:space="preserve"> Track Suprv-SymingtonYrd</t>
  </si>
  <si>
    <t xml:space="preserve"> Track Suprv-Sprague</t>
  </si>
  <si>
    <t xml:space="preserve"> Track Suprv-Redditt</t>
  </si>
  <si>
    <t xml:space="preserve"> MB Ballast Plant</t>
  </si>
  <si>
    <t xml:space="preserve"> B&amp;S Manitoba</t>
  </si>
  <si>
    <t xml:space="preserve"> ON MacYard Motive Power</t>
  </si>
  <si>
    <t xml:space="preserve"> Track Suprv-Ottawa</t>
  </si>
  <si>
    <t xml:space="preserve"> ON MacYard ULSD</t>
  </si>
  <si>
    <t xml:space="preserve"> ON MacYard East Repair</t>
  </si>
  <si>
    <t xml:space="preserve"> ON MacYard Blue Tower</t>
  </si>
  <si>
    <t xml:space="preserve"> ON MacYard Heavy Repair</t>
  </si>
  <si>
    <t xml:space="preserve"> Fleet SVCS CDA</t>
  </si>
  <si>
    <t xml:space="preserve"> ON Windsor Plant</t>
  </si>
  <si>
    <t xml:space="preserve"> ON Sarnia Plant</t>
  </si>
  <si>
    <t xml:space="preserve"> ON Brampton</t>
  </si>
  <si>
    <t xml:space="preserve"> ON Oakville</t>
  </si>
  <si>
    <t xml:space="preserve"> ON Belleville</t>
  </si>
  <si>
    <t xml:space="preserve"> ON South Plant</t>
  </si>
  <si>
    <t xml:space="preserve"> ON London</t>
  </si>
  <si>
    <t xml:space="preserve"> ON North Plant</t>
  </si>
  <si>
    <t xml:space="preserve"> ON Mac Yard WhShop</t>
  </si>
  <si>
    <t xml:space="preserve"> ON Thunder Bay</t>
  </si>
  <si>
    <t xml:space="preserve"> ON Hornepayne Diesel</t>
  </si>
  <si>
    <t xml:space="preserve"> Brampton B.I.T. DTL Fuel</t>
  </si>
  <si>
    <t xml:space="preserve"> Tor-Malport-Eco DTL Fuel</t>
  </si>
  <si>
    <t xml:space="preserve"> DonYard DTL</t>
  </si>
  <si>
    <t xml:space="preserve"> Talbotville DTL</t>
  </si>
  <si>
    <t xml:space="preserve"> Oshawa DTL</t>
  </si>
  <si>
    <t xml:space="preserve"> Neebing DTL</t>
  </si>
  <si>
    <t xml:space="preserve"> Oakville DTL</t>
  </si>
  <si>
    <t xml:space="preserve"> Hamilton DTL</t>
  </si>
  <si>
    <t xml:space="preserve"> Chatham DTL</t>
  </si>
  <si>
    <t xml:space="preserve"> Kenora DTL</t>
  </si>
  <si>
    <t xml:space="preserve"> Brockville DTL</t>
  </si>
  <si>
    <t xml:space="preserve"> Vankleek Hill DTL</t>
  </si>
  <si>
    <t xml:space="preserve"> Walkley DTL</t>
  </si>
  <si>
    <t xml:space="preserve"> Huntsville DTL</t>
  </si>
  <si>
    <t xml:space="preserve"> Cambridge DTL</t>
  </si>
  <si>
    <t xml:space="preserve"> Fort Frances DTL</t>
  </si>
  <si>
    <t xml:space="preserve"> Port Robinson  DTL</t>
  </si>
  <si>
    <t xml:space="preserve"> Mimico Yard  DTL</t>
  </si>
  <si>
    <t xml:space="preserve"> Kitchener DTL</t>
  </si>
  <si>
    <t xml:space="preserve"> Track Suprv-S-Lookout</t>
  </si>
  <si>
    <t xml:space="preserve"> Track Suprv-Thunder Bay</t>
  </si>
  <si>
    <t xml:space="preserve"> Track Suprv-Longlac/Nakina</t>
  </si>
  <si>
    <t xml:space="preserve"> Track Suprv-Hornepayne</t>
  </si>
  <si>
    <t xml:space="preserve"> Track Supvr - Capreol</t>
  </si>
  <si>
    <t xml:space="preserve"> Track Supvr - Sudbury</t>
  </si>
  <si>
    <t xml:space="preserve"> Track Suprv-Washago</t>
  </si>
  <si>
    <t xml:space="preserve"> B&amp;S Ontario</t>
  </si>
  <si>
    <t xml:space="preserve"> Track Suprv-Hagersville</t>
  </si>
  <si>
    <t xml:space="preserve"> Track Suprv-Sarnia</t>
  </si>
  <si>
    <t xml:space="preserve"> London DTL</t>
  </si>
  <si>
    <t xml:space="preserve"> Track Supvr Guelph</t>
  </si>
  <si>
    <t xml:space="preserve"> Track Suprv-Brantford/London</t>
  </si>
  <si>
    <t xml:space="preserve"> Track Suprv-Niagara</t>
  </si>
  <si>
    <t xml:space="preserve"> OTM Minor Bulk East</t>
  </si>
  <si>
    <t xml:space="preserve"> Track Suprv-Don Yard</t>
  </si>
  <si>
    <t xml:space="preserve"> Track Suprv-MacMillanYrd</t>
  </si>
  <si>
    <t xml:space="preserve"> ON Ballast Plant</t>
  </si>
  <si>
    <t xml:space="preserve"> Track Suprv-Malport</t>
  </si>
  <si>
    <t xml:space="preserve"> Track Suprv-Belleville</t>
  </si>
  <si>
    <t xml:space="preserve"> Track Suprv-Kingston</t>
  </si>
  <si>
    <t xml:space="preserve"> ON Rail Scrap Sorting</t>
  </si>
  <si>
    <t xml:space="preserve"> Eastern S&amp;C</t>
  </si>
  <si>
    <t xml:space="preserve"> Taschereau Car</t>
  </si>
  <si>
    <t xml:space="preserve"> Garneau Car Material</t>
  </si>
  <si>
    <t xml:space="preserve"> Mont-Joli Mechanical</t>
  </si>
  <si>
    <t xml:space="preserve"> CDN Locomotive Contract</t>
  </si>
  <si>
    <t xml:space="preserve"> Quebec Charny</t>
  </si>
  <si>
    <t xml:space="preserve"> Quebec Montrain Plt</t>
  </si>
  <si>
    <t xml:space="preserve"> Turcot Yard DTL</t>
  </si>
  <si>
    <t xml:space="preserve"> St-Lambert DTL</t>
  </si>
  <si>
    <t xml:space="preserve"> Riv.des Prairies DTL</t>
  </si>
  <si>
    <t xml:space="preserve"> Joliette DTL</t>
  </si>
  <si>
    <t xml:space="preserve"> Coteau DTL</t>
  </si>
  <si>
    <t xml:space="preserve"> Contrecoeur DTL</t>
  </si>
  <si>
    <t xml:space="preserve"> Bécancour DTL</t>
  </si>
  <si>
    <t xml:space="preserve"> Varennes DTL</t>
  </si>
  <si>
    <t xml:space="preserve"> Port of Montreal DTL</t>
  </si>
  <si>
    <t xml:space="preserve"> St. Hyacinthe DTL</t>
  </si>
  <si>
    <t xml:space="preserve"> Joffre DTL</t>
  </si>
  <si>
    <t xml:space="preserve"> Ste-Foy DTL</t>
  </si>
  <si>
    <t xml:space="preserve"> Fitzpatrick DTL</t>
  </si>
  <si>
    <t xml:space="preserve"> Limoilou DTL</t>
  </si>
  <si>
    <t xml:space="preserve"> Chibougamau DTL</t>
  </si>
  <si>
    <t xml:space="preserve"> B&amp;S Quebec South</t>
  </si>
  <si>
    <t xml:space="preserve"> La Ferme near Amos DTL</t>
  </si>
  <si>
    <t xml:space="preserve"> Aston Jct DTL</t>
  </si>
  <si>
    <t xml:space="preserve"> B&amp;S Quebec North</t>
  </si>
  <si>
    <t xml:space="preserve"> Track Suprv-Tasch Yrd</t>
  </si>
  <si>
    <t xml:space="preserve"> Track Suprv-Turcotte</t>
  </si>
  <si>
    <t xml:space="preserve"> Track Suprv-Riv.d.Prair</t>
  </si>
  <si>
    <t xml:space="preserve"> Track Suprv-St-Lambert</t>
  </si>
  <si>
    <t xml:space="preserve"> TS - Drummondville</t>
  </si>
  <si>
    <t xml:space="preserve"> Quebec Tie Plant</t>
  </si>
  <si>
    <t xml:space="preserve"> Track Suprv-Senneterre</t>
  </si>
  <si>
    <t xml:space="preserve"> Track Suprv-Parent</t>
  </si>
  <si>
    <t xml:space="preserve"> Track Suprv-Garneau</t>
  </si>
  <si>
    <t xml:space="preserve"> Track Suprv-Chambord</t>
  </si>
  <si>
    <t xml:space="preserve"> TS - Joffre</t>
  </si>
  <si>
    <t xml:space="preserve"> Production Est</t>
  </si>
  <si>
    <t xml:space="preserve"> TS - Mont Joli</t>
  </si>
  <si>
    <t xml:space="preserve"> Quebec Ballast</t>
  </si>
  <si>
    <t xml:space="preserve"> Suprv Supply Mgmnt</t>
  </si>
  <si>
    <t xml:space="preserve"> Edmundston DTL</t>
  </si>
  <si>
    <t xml:space="preserve"> Moncton DTL</t>
  </si>
  <si>
    <t xml:space="preserve"> St John DTL</t>
  </si>
  <si>
    <t xml:space="preserve"> Miramichi DTL</t>
  </si>
  <si>
    <t xml:space="preserve"> Bathurst DTL</t>
  </si>
  <si>
    <t xml:space="preserve"> Campbellton Mechanical</t>
  </si>
  <si>
    <t xml:space="preserve"> B&amp;S Atlantic</t>
  </si>
  <si>
    <t xml:space="preserve"> Track Suprv-W-Napadogan</t>
  </si>
  <si>
    <t xml:space="preserve"> Track Suprv-Gordon Yrd</t>
  </si>
  <si>
    <t xml:space="preserve"> Track Suprv-Newcastle</t>
  </si>
  <si>
    <t xml:space="preserve"> NS Scotia Halifax Area</t>
  </si>
  <si>
    <t xml:space="preserve"> Dartmouth DTL</t>
  </si>
  <si>
    <t xml:space="preserve"> Halifax DTL</t>
  </si>
  <si>
    <t xml:space="preserve"> Track Suprv-Halifax</t>
  </si>
  <si>
    <t xml:space="preserve"> Supply Mgmt Ties</t>
  </si>
  <si>
    <t xml:space="preserve"> Maritime Ballast</t>
  </si>
  <si>
    <t xml:space="preserve"> Hay River DTL</t>
  </si>
  <si>
    <t xml:space="preserve"> Sault Ste Marie Whse</t>
  </si>
  <si>
    <t xml:space="preserve"> Signal Suprv-Steelton</t>
  </si>
  <si>
    <t xml:space="preserve"> Hawk Junction DTL</t>
  </si>
  <si>
    <t xml:space="preserve"> Hearst DTL</t>
  </si>
  <si>
    <t xml:space="preserve"> B&amp;B Sault Ste Marie</t>
  </si>
  <si>
    <t xml:space="preserve"> Track Suprv-Steelton</t>
  </si>
  <si>
    <t xml:space="preserve"> ACR General</t>
  </si>
  <si>
    <t xml:space="preserve"> WCR General</t>
  </si>
  <si>
    <t xml:space="preserve"> CNR Gneral</t>
  </si>
  <si>
    <t xml:space="preserve"> CN IT Services</t>
  </si>
  <si>
    <t xml:space="preserve"> Cogema</t>
  </si>
  <si>
    <t xml:space="preserve"> CNR General</t>
  </si>
  <si>
    <t xml:space="preserve"> Enginehouse Foreman</t>
  </si>
  <si>
    <t xml:space="preserve"> GTW Loco Fuel</t>
  </si>
  <si>
    <t xml:space="preserve"> Signal Suprv-Detroit</t>
  </si>
  <si>
    <t xml:space="preserve"> Battle Creek RIP Trk</t>
  </si>
  <si>
    <t xml:space="preserve"> Flint RIP Track</t>
  </si>
  <si>
    <t xml:space="preserve"> Flat Rock RIP Trk</t>
  </si>
  <si>
    <t xml:space="preserve"> Ferndale RIP</t>
  </si>
  <si>
    <t xml:space="preserve"> Lansing RIP</t>
  </si>
  <si>
    <t xml:space="preserve"> Kalamazoo DTL</t>
  </si>
  <si>
    <t xml:space="preserve"> Port Huron DTL</t>
  </si>
  <si>
    <t xml:space="preserve"> Hamtramck DTL</t>
  </si>
  <si>
    <t xml:space="preserve"> B&amp;B Suprv-BattleCrk</t>
  </si>
  <si>
    <t xml:space="preserve"> Signal Suprv-Battl Crk</t>
  </si>
  <si>
    <t xml:space="preserve"> Powers DTL</t>
  </si>
  <si>
    <t xml:space="preserve"> Quinnesec</t>
  </si>
  <si>
    <t xml:space="preserve"> Griffith DTL</t>
  </si>
  <si>
    <t xml:space="preserve"> Track Suprv-Pontiac</t>
  </si>
  <si>
    <t xml:space="preserve"> Track Suprv-Flat Rock</t>
  </si>
  <si>
    <t xml:space="preserve"> Track Suprv - Flint</t>
  </si>
  <si>
    <t xml:space="preserve"> Track Suprv-BattleCrk</t>
  </si>
  <si>
    <t xml:space="preserve"> Ties South - GTW</t>
  </si>
  <si>
    <t xml:space="preserve"> Track Suprv-Valparaiso</t>
  </si>
  <si>
    <t xml:space="preserve"> Battle Creek DTL</t>
  </si>
  <si>
    <t xml:space="preserve"> Flint Diesel Fuel</t>
  </si>
  <si>
    <t xml:space="preserve"> Flat Rock Diesel Fuel</t>
  </si>
  <si>
    <t xml:space="preserve"> Pontiac Diesel Fuel</t>
  </si>
  <si>
    <t xml:space="preserve"> GTW General</t>
  </si>
  <si>
    <t xml:space="preserve"> Toledo DTL</t>
  </si>
  <si>
    <t xml:space="preserve"> Track Supvr - Virginia</t>
  </si>
  <si>
    <t xml:space="preserve"> WCR Loco Fuel</t>
  </si>
  <si>
    <t xml:space="preserve"> Proctor Motive Power</t>
  </si>
  <si>
    <t xml:space="preserve"> Proctor RIP Track</t>
  </si>
  <si>
    <t xml:space="preserve"> Two Harbors Warehouse</t>
  </si>
  <si>
    <t xml:space="preserve"> LTV Mine DTL</t>
  </si>
  <si>
    <t xml:space="preserve"> Minntac DTL</t>
  </si>
  <si>
    <t xml:space="preserve"> Ranier DTL</t>
  </si>
  <si>
    <t xml:space="preserve"> Duluth Ore Dock</t>
  </si>
  <si>
    <t xml:space="preserve"> Track Suprv-Proctor</t>
  </si>
  <si>
    <t xml:space="preserve"> Keenan Diesel Fuel</t>
  </si>
  <si>
    <t xml:space="preserve"> Greenville Warehouse</t>
  </si>
  <si>
    <t xml:space="preserve"> B&amp;LE Loco Fuel</t>
  </si>
  <si>
    <t xml:space="preserve"> Conneaut Warehouse</t>
  </si>
  <si>
    <t xml:space="preserve"> Track Suprv-Albion</t>
  </si>
  <si>
    <t xml:space="preserve"> B&amp;LE General</t>
  </si>
  <si>
    <t xml:space="preserve"> Signal  - Joliet</t>
  </si>
  <si>
    <t xml:space="preserve"> IC Loco Fuel</t>
  </si>
  <si>
    <t xml:space="preserve"> CN Kirk Yard RIP Track</t>
  </si>
  <si>
    <t xml:space="preserve"> Whiting DTL</t>
  </si>
  <si>
    <t xml:space="preserve"> Centrepoint JBBR DTL</t>
  </si>
  <si>
    <t xml:space="preserve"> Track Suprv - W.Chicago</t>
  </si>
  <si>
    <t xml:space="preserve"> Track Suprv-Joliet</t>
  </si>
  <si>
    <t xml:space="preserve"> Track Suprv-Kirk</t>
  </si>
  <si>
    <t xml:space="preserve"> Joliet Fuel</t>
  </si>
  <si>
    <t xml:space="preserve"> Kirk Fuel</t>
  </si>
  <si>
    <t xml:space="preserve"> WC</t>
  </si>
  <si>
    <t xml:space="preserve"> Woodcrest Whse</t>
  </si>
  <si>
    <t xml:space="preserve"> Centralia Warehouse</t>
  </si>
  <si>
    <t xml:space="preserve"> IC Contract Shops</t>
  </si>
  <si>
    <t xml:space="preserve"> Fleet SVCS US</t>
  </si>
  <si>
    <t xml:space="preserve"> OTM Minor Bulk South</t>
  </si>
  <si>
    <t xml:space="preserve"> Woodcrest Whse CF</t>
  </si>
  <si>
    <t xml:space="preserve"> Woodcrest Signal Dept</t>
  </si>
  <si>
    <t xml:space="preserve"> Signal Suprv-Mattoon</t>
  </si>
  <si>
    <t xml:space="preserve"> Signal Suprv-Gilman</t>
  </si>
  <si>
    <t xml:space="preserve"> Signal Super-Carbondale</t>
  </si>
  <si>
    <t xml:space="preserve"> Glen Yard DTL</t>
  </si>
  <si>
    <t xml:space="preserve"> Champaign RIP</t>
  </si>
  <si>
    <t xml:space="preserve"> Decatur RIP Trk</t>
  </si>
  <si>
    <t xml:space="preserve"> Centralia RIP Trk</t>
  </si>
  <si>
    <t xml:space="preserve"> Markham RIP Track</t>
  </si>
  <si>
    <t xml:space="preserve"> Homewood Work Equip</t>
  </si>
  <si>
    <t xml:space="preserve"> Effingham DTL</t>
  </si>
  <si>
    <t xml:space="preserve"> Clinton DTL</t>
  </si>
  <si>
    <t xml:space="preserve"> Decatur DTL</t>
  </si>
  <si>
    <t xml:space="preserve"> East St Louis DTL</t>
  </si>
  <si>
    <t xml:space="preserve"> Kankakee DTL</t>
  </si>
  <si>
    <t xml:space="preserve"> Baldwin DTL</t>
  </si>
  <si>
    <t xml:space="preserve"> Duquoin DTL</t>
  </si>
  <si>
    <t xml:space="preserve"> Waukegan DTL</t>
  </si>
  <si>
    <t xml:space="preserve"> Spaudling DTL</t>
  </si>
  <si>
    <t xml:space="preserve"> Mt Pulaski DTL</t>
  </si>
  <si>
    <t xml:space="preserve"> B&amp;B Supv Homewood</t>
  </si>
  <si>
    <t xml:space="preserve"> Leithton DTL</t>
  </si>
  <si>
    <t xml:space="preserve"> Roundout DTL</t>
  </si>
  <si>
    <t xml:space="preserve"> Cairo DTL</t>
  </si>
  <si>
    <t xml:space="preserve"> Dial DTL</t>
  </si>
  <si>
    <t xml:space="preserve"> Galatia DTL</t>
  </si>
  <si>
    <t xml:space="preserve"> Marissa DTL</t>
  </si>
  <si>
    <t xml:space="preserve"> Sugar Camp DTL</t>
  </si>
  <si>
    <t xml:space="preserve"> Track Suprv-Glen Yard</t>
  </si>
  <si>
    <t xml:space="preserve"> Track Suprv-Markham Yd</t>
  </si>
  <si>
    <t xml:space="preserve"> Track Suprv-Gilman</t>
  </si>
  <si>
    <t xml:space="preserve"> Track Suprv-Decatur</t>
  </si>
  <si>
    <t xml:space="preserve"> Track Suprv-Chiles</t>
  </si>
  <si>
    <t xml:space="preserve"> Track Suprv-Centralia</t>
  </si>
  <si>
    <t xml:space="preserve"> Track Suprv-Carbondale</t>
  </si>
  <si>
    <t xml:space="preserve"> Track Suprv-Mattoon</t>
  </si>
  <si>
    <t xml:space="preserve"> IC TIE Plant</t>
  </si>
  <si>
    <t xml:space="preserve"> Homewood Storage Fuel</t>
  </si>
  <si>
    <t xml:space="preserve"> Champaign Diesel Fuel</t>
  </si>
  <si>
    <t xml:space="preserve"> Benton Diesel Fuel</t>
  </si>
  <si>
    <t xml:space="preserve"> Decature Diesel Fuel</t>
  </si>
  <si>
    <t xml:space="preserve"> B&amp;S Spvr Clinton</t>
  </si>
  <si>
    <t xml:space="preserve"> Paducah DTL Fuel</t>
  </si>
  <si>
    <t xml:space="preserve"> B &amp; B Suprv-Paducah</t>
  </si>
  <si>
    <t xml:space="preserve"> Fulton RIP Trk/Fuel</t>
  </si>
  <si>
    <t xml:space="preserve"> Memphis Warehouse</t>
  </si>
  <si>
    <t xml:space="preserve"> Signal Suprv-Memphis</t>
  </si>
  <si>
    <t xml:space="preserve"> Signal Suprv-Fulton</t>
  </si>
  <si>
    <t xml:space="preserve"> Memphis Work Equip</t>
  </si>
  <si>
    <t xml:space="preserve"> Track Suprv-Dyersburg</t>
  </si>
  <si>
    <t xml:space="preserve"> Track Suprv-Memphis</t>
  </si>
  <si>
    <t xml:space="preserve"> Memphis Diesel</t>
  </si>
  <si>
    <t xml:space="preserve"> Jackson Warehouse</t>
  </si>
  <si>
    <t xml:space="preserve"> Signal Super-Brookhaven</t>
  </si>
  <si>
    <t xml:space="preserve"> Ferguson DTL</t>
  </si>
  <si>
    <t xml:space="preserve"> McComb DTL</t>
  </si>
  <si>
    <t xml:space="preserve"> Magee DTL</t>
  </si>
  <si>
    <t xml:space="preserve"> Brookhaven DTL</t>
  </si>
  <si>
    <t xml:space="preserve"> Saratoga DTL</t>
  </si>
  <si>
    <t xml:space="preserve"> B &amp; B Suprv-Greenwood</t>
  </si>
  <si>
    <t xml:space="preserve"> Track Suprv-Jackson</t>
  </si>
  <si>
    <t xml:space="preserve"> Yazoo City DTL</t>
  </si>
  <si>
    <t xml:space="preserve"> Track Suprv-Brookhaven</t>
  </si>
  <si>
    <t xml:space="preserve"> Track Suprv-Hattiesburg</t>
  </si>
  <si>
    <t xml:space="preserve"> Track Suprv-Greenwood</t>
  </si>
  <si>
    <t xml:space="preserve"> Jackson Diesel F/LOil</t>
  </si>
  <si>
    <t xml:space="preserve"> Baton Rouge RIP</t>
  </si>
  <si>
    <t xml:space="preserve"> New Orleans RIP</t>
  </si>
  <si>
    <t xml:space="preserve"> Signal Super-Hammond</t>
  </si>
  <si>
    <t xml:space="preserve"> Geismar DTL Fuel</t>
  </si>
  <si>
    <t xml:space="preserve"> Bogalusa DTL</t>
  </si>
  <si>
    <t xml:space="preserve"> Convent DTL Fuel</t>
  </si>
  <si>
    <t xml:space="preserve"> Destrehan DTL Fuel</t>
  </si>
  <si>
    <t xml:space="preserve"> Track Suprv-Hammond</t>
  </si>
  <si>
    <t xml:space="preserve"> Track Suprv-Baton Rouge</t>
  </si>
  <si>
    <t xml:space="preserve"> Mays Diesel Fuel</t>
  </si>
  <si>
    <t xml:space="preserve"> Baton Rouge Diesel Fuel</t>
  </si>
  <si>
    <t xml:space="preserve"> Mobile Warehouse</t>
  </si>
  <si>
    <t xml:space="preserve"> ICR General</t>
  </si>
  <si>
    <t xml:space="preserve"> Waterloo Warehouse</t>
  </si>
  <si>
    <t xml:space="preserve"> CCP Loco Fuel</t>
  </si>
  <si>
    <t xml:space="preserve"> Signal Suprv-Waterloo</t>
  </si>
  <si>
    <t xml:space="preserve"> Council Bluffs RIP Trk</t>
  </si>
  <si>
    <t xml:space="preserve"> Fort Dodge DTL</t>
  </si>
  <si>
    <t xml:space="preserve"> Sioux City DTL</t>
  </si>
  <si>
    <t xml:space="preserve"> Walford DTL</t>
  </si>
  <si>
    <t xml:space="preserve"> Cedar Rapids DTL</t>
  </si>
  <si>
    <t xml:space="preserve"> Manchester DTL</t>
  </si>
  <si>
    <t xml:space="preserve"> B&amp;B Suprv Waterloo</t>
  </si>
  <si>
    <t xml:space="preserve"> Track Suprv-Storm Lake</t>
  </si>
  <si>
    <t xml:space="preserve"> Track Suprv-Waterloo</t>
  </si>
  <si>
    <t xml:space="preserve"> Track Suprv-Dubuque</t>
  </si>
  <si>
    <t xml:space="preserve"> Cedar River RR</t>
  </si>
  <si>
    <t xml:space="preserve"> Waterloo Diesell Fuel</t>
  </si>
  <si>
    <t xml:space="preserve"> Track Suprv-Freeport</t>
  </si>
  <si>
    <t xml:space="preserve"> Hawthorne Diesel Fuel</t>
  </si>
  <si>
    <t xml:space="preserve"> CCP General</t>
  </si>
  <si>
    <t xml:space="preserve"> CDR General</t>
  </si>
  <si>
    <t xml:space="preserve"> ESCANABA FUEL</t>
  </si>
  <si>
    <t xml:space="preserve"> Escanaba Ore Dock</t>
  </si>
  <si>
    <t xml:space="preserve"> SSMB General</t>
  </si>
  <si>
    <t xml:space="preserve"> Fond du Lac Warehouse</t>
  </si>
  <si>
    <t xml:space="preserve"> Stevens Point Warehouse</t>
  </si>
  <si>
    <t xml:space="preserve"> Signal Suprv-Stvn Point</t>
  </si>
  <si>
    <t xml:space="preserve"> GREENBAY FUEL</t>
  </si>
  <si>
    <t xml:space="preserve"> Fond du Lac Work Equip</t>
  </si>
  <si>
    <t xml:space="preserve"> Milwaukee DTL</t>
  </si>
  <si>
    <t xml:space="preserve"> Wausau DTL</t>
  </si>
  <si>
    <t xml:space="preserve"> Wauzeka DTL</t>
  </si>
  <si>
    <t xml:space="preserve"> Ripon DTL</t>
  </si>
  <si>
    <t xml:space="preserve"> West Bend DTL</t>
  </si>
  <si>
    <t xml:space="preserve"> Neenah DTL</t>
  </si>
  <si>
    <t xml:space="preserve"> Wisconsin Rapids DTLFuel</t>
  </si>
  <si>
    <t xml:space="preserve"> Hixton DTL</t>
  </si>
  <si>
    <t xml:space="preserve"> Birnamwood DTL</t>
  </si>
  <si>
    <t xml:space="preserve"> Prentice DTL</t>
  </si>
  <si>
    <t xml:space="preserve"> WC Structures East</t>
  </si>
  <si>
    <t xml:space="preserve"> WC Structures West</t>
  </si>
  <si>
    <t xml:space="preserve"> Park Falls DTL</t>
  </si>
  <si>
    <t xml:space="preserve"> Trout Lake DTL</t>
  </si>
  <si>
    <t xml:space="preserve"> Mellon DTL</t>
  </si>
  <si>
    <t xml:space="preserve"> Taylor DTL</t>
  </si>
  <si>
    <t xml:space="preserve"> Weston DTL</t>
  </si>
  <si>
    <t xml:space="preserve"> Chippewa Falls DTL</t>
  </si>
  <si>
    <t xml:space="preserve"> Superior DTL</t>
  </si>
  <si>
    <t xml:space="preserve"> Ladysmith DTL</t>
  </si>
  <si>
    <t xml:space="preserve"> Track Suprv-LadySmith</t>
  </si>
  <si>
    <t xml:space="preserve"> Track Suprv-Owen</t>
  </si>
  <si>
    <t xml:space="preserve"> DBR Siding DTL</t>
  </si>
  <si>
    <t xml:space="preserve"> Track Suprv-Stvns Point</t>
  </si>
  <si>
    <t xml:space="preserve"> WC Track Maintenance</t>
  </si>
  <si>
    <t xml:space="preserve"> Track Suprv-Appleton</t>
  </si>
  <si>
    <t xml:space="preserve"> Track Suprv-FDL Yard</t>
  </si>
  <si>
    <t xml:space="preserve"> WC Direct Fueling</t>
  </si>
  <si>
    <t xml:space="preserve"> Two Harbors Marine Fuel</t>
  </si>
  <si>
    <t xml:space="preserve"> Superior Diesel Fuel</t>
  </si>
  <si>
    <t xml:space="preserve"> Stevens Pt. diesel Fuel</t>
  </si>
  <si>
    <t xml:space="preserve"> Fond du Lac fuel</t>
  </si>
  <si>
    <t xml:space="preserve"> Fond du Lac Diesel fuel</t>
  </si>
  <si>
    <t xml:space="preserve"> Gladstone Warehouse</t>
  </si>
  <si>
    <t xml:space="preserve"> Ironwood DTL</t>
  </si>
  <si>
    <t xml:space="preserve"> Ishpeming DTL</t>
  </si>
  <si>
    <t xml:space="preserve"> Track Suprv-Gladstone</t>
  </si>
  <si>
    <t xml:space="preserve"> Track Suprv-Ironwood</t>
  </si>
  <si>
    <t xml:space="preserve"> Schiller Park DTL</t>
  </si>
  <si>
    <t xml:space="preserve"> S&amp;C JOLIET CF</t>
  </si>
  <si>
    <t xml:space="preserve"> WC Link General</t>
  </si>
  <si>
    <t xml:space="preserve"> USA Tie Plant</t>
  </si>
  <si>
    <t xml:space="preserve"> Minnesota Ballast Plt</t>
  </si>
  <si>
    <t>Plant Number</t>
  </si>
  <si>
    <t>list Name:</t>
  </si>
  <si>
    <t>Linck</t>
  </si>
  <si>
    <t>Combine Plant Name</t>
  </si>
  <si>
    <t>Plant_2</t>
  </si>
  <si>
    <t xml:space="preserve">excel table name </t>
  </si>
  <si>
    <t>ID Material Group</t>
  </si>
  <si>
    <t>Material group Name</t>
  </si>
  <si>
    <t>Comb Material Group Name</t>
  </si>
  <si>
    <t>M_group</t>
  </si>
  <si>
    <t>MRP_Profile_2</t>
  </si>
  <si>
    <t>MD MRP Profile</t>
  </si>
  <si>
    <t>ID MRP Profile</t>
  </si>
  <si>
    <t>Name MRP Profile</t>
  </si>
  <si>
    <t>Comb MRP Profile Name</t>
  </si>
  <si>
    <t>ID MRP Type</t>
  </si>
  <si>
    <t>MRP Type Name</t>
  </si>
  <si>
    <t>Comb MRP Type Name</t>
  </si>
  <si>
    <t>MRP_Type_2</t>
  </si>
  <si>
    <t>ID Val Class</t>
  </si>
  <si>
    <t>Valuation Class Name</t>
  </si>
  <si>
    <t>Comb Valuation Class Name</t>
  </si>
  <si>
    <t>Valuation_Class_2</t>
  </si>
  <si>
    <t>Material_Class_2</t>
  </si>
  <si>
    <t>ID Material Class</t>
  </si>
  <si>
    <t>Material Class Name</t>
  </si>
  <si>
    <t>Comb Material Class Name</t>
  </si>
  <si>
    <t>Purchasing_Group</t>
  </si>
  <si>
    <t>ID Purch Group</t>
  </si>
  <si>
    <t>Purchasing Group Name</t>
  </si>
  <si>
    <t>Comb Purchasing Group Name</t>
  </si>
  <si>
    <t>MD Purchasing Group</t>
  </si>
  <si>
    <t>MRP_Group_2</t>
  </si>
  <si>
    <t>MD MRP Group</t>
  </si>
  <si>
    <t>Storage_Location</t>
  </si>
  <si>
    <t>MD Storage Location</t>
  </si>
  <si>
    <t>ID Storage Location</t>
  </si>
  <si>
    <t>ID UoM</t>
  </si>
  <si>
    <t>Base UoM Name</t>
  </si>
  <si>
    <t>MD Unit of Measure</t>
  </si>
  <si>
    <t>Base_UoM_2</t>
  </si>
  <si>
    <t>MD Plants</t>
  </si>
  <si>
    <t>MD Material Group</t>
  </si>
  <si>
    <t>MD MRP Type</t>
  </si>
  <si>
    <t>MD Valuation Class</t>
  </si>
  <si>
    <t>MD Material Class</t>
  </si>
  <si>
    <t>Material Type</t>
  </si>
  <si>
    <t>DTL</t>
  </si>
  <si>
    <t>Fuel</t>
  </si>
  <si>
    <t>Inventory</t>
  </si>
  <si>
    <t>Loco</t>
  </si>
  <si>
    <t>Tie</t>
  </si>
  <si>
    <t>Track</t>
  </si>
  <si>
    <t>MD Material Type</t>
  </si>
  <si>
    <t>Material_Type</t>
  </si>
  <si>
    <t>Storage Location Name</t>
  </si>
  <si>
    <t>Concat Storage Location Name</t>
  </si>
  <si>
    <t>Alberta</t>
  </si>
  <si>
    <t>British Columbia</t>
  </si>
  <si>
    <t>Manitoba</t>
  </si>
  <si>
    <t>New Brunswick</t>
  </si>
  <si>
    <t>Nova Scotia</t>
  </si>
  <si>
    <t>Ontario</t>
  </si>
  <si>
    <t>Québec</t>
  </si>
  <si>
    <t>Saskatchewan</t>
  </si>
  <si>
    <t>Name</t>
  </si>
  <si>
    <t>AB</t>
  </si>
  <si>
    <t>BC</t>
  </si>
  <si>
    <t>NB</t>
  </si>
  <si>
    <t>ON</t>
  </si>
  <si>
    <t>QC</t>
  </si>
  <si>
    <t>CIE</t>
  </si>
  <si>
    <t>ST</t>
  </si>
  <si>
    <t>MD Province</t>
  </si>
  <si>
    <t>Province</t>
  </si>
  <si>
    <t>Cantry</t>
  </si>
  <si>
    <t>CA</t>
  </si>
  <si>
    <t>US</t>
  </si>
  <si>
    <t>IN</t>
  </si>
  <si>
    <t>IL</t>
  </si>
  <si>
    <t>KY</t>
  </si>
  <si>
    <t>TN</t>
  </si>
  <si>
    <t>LA</t>
  </si>
  <si>
    <t>AL</t>
  </si>
  <si>
    <t>IA</t>
  </si>
  <si>
    <t>WI</t>
  </si>
  <si>
    <t>Alabama</t>
  </si>
  <si>
    <t>Indiana</t>
  </si>
  <si>
    <t>Illinois</t>
  </si>
  <si>
    <t>Kentucky</t>
  </si>
  <si>
    <t>Tennessee</t>
  </si>
  <si>
    <t>Mississippi</t>
  </si>
  <si>
    <t>Louisiana</t>
  </si>
  <si>
    <t>Michigan</t>
  </si>
  <si>
    <t>Pennsylvania</t>
  </si>
  <si>
    <t>Iowa</t>
  </si>
  <si>
    <t>Wisconsin</t>
  </si>
  <si>
    <t>Minnesota</t>
  </si>
  <si>
    <t>Abbr</t>
  </si>
  <si>
    <t>City</t>
  </si>
  <si>
    <t>Type of Materials</t>
  </si>
  <si>
    <t xml:space="preserve">Country </t>
  </si>
  <si>
    <t xml:space="preserve">Province </t>
  </si>
  <si>
    <t>Plant Address</t>
  </si>
  <si>
    <t>Postal code</t>
  </si>
  <si>
    <t>email</t>
  </si>
  <si>
    <t>Contact Name</t>
  </si>
  <si>
    <t>Phone number</t>
  </si>
  <si>
    <t>Department</t>
  </si>
  <si>
    <t>PN Reference</t>
  </si>
  <si>
    <t>Plunht Number</t>
  </si>
  <si>
    <t>Plunt Name</t>
  </si>
  <si>
    <t>Region Number</t>
  </si>
  <si>
    <t>SLocation Number</t>
  </si>
  <si>
    <t>SL Name</t>
  </si>
  <si>
    <t>Type of materials2</t>
  </si>
  <si>
    <r>
      <t xml:space="preserve">Reason for new plant creation </t>
    </r>
    <r>
      <rPr>
        <sz val="11"/>
        <color rgb="FFC00000"/>
        <rFont val="Calibri"/>
        <family val="2"/>
        <scheme val="minor"/>
      </rPr>
      <t xml:space="preserve">*
</t>
    </r>
    <r>
      <rPr>
        <sz val="11"/>
        <color rgb="FF002060"/>
        <rFont val="Calibri"/>
        <family val="2"/>
        <scheme val="minor"/>
      </rPr>
      <t xml:space="preserve">
</t>
    </r>
  </si>
  <si>
    <t>Reason for new plant creation *</t>
  </si>
  <si>
    <r>
      <t xml:space="preserve">Requestor </t>
    </r>
    <r>
      <rPr>
        <sz val="11"/>
        <color rgb="FFC00000"/>
        <rFont val="Calibri"/>
        <family val="2"/>
        <scheme val="minor"/>
      </rPr>
      <t>*</t>
    </r>
  </si>
  <si>
    <r>
      <t xml:space="preserve">Department </t>
    </r>
    <r>
      <rPr>
        <sz val="11"/>
        <color rgb="FFC00000"/>
        <rFont val="Calibri"/>
        <family val="2"/>
        <scheme val="minor"/>
      </rPr>
      <t>*</t>
    </r>
  </si>
  <si>
    <r>
      <t>Type of materials will be stored at the new plant</t>
    </r>
    <r>
      <rPr>
        <sz val="11"/>
        <color rgb="FFC00000"/>
        <rFont val="Calibri"/>
        <family val="2"/>
        <scheme val="minor"/>
      </rPr>
      <t xml:space="preserve"> *</t>
    </r>
  </si>
  <si>
    <r>
      <t xml:space="preserve">Plant number reference </t>
    </r>
    <r>
      <rPr>
        <sz val="10"/>
        <color rgb="FF002060"/>
        <rFont val="Calibri"/>
        <family val="2"/>
        <scheme val="minor"/>
      </rPr>
      <t xml:space="preserve">[the same company code] </t>
    </r>
    <r>
      <rPr>
        <sz val="11"/>
        <color rgb="FFC00000"/>
        <rFont val="Calibri"/>
        <family val="2"/>
        <scheme val="minor"/>
      </rPr>
      <t>*</t>
    </r>
  </si>
  <si>
    <r>
      <t xml:space="preserve">Country </t>
    </r>
    <r>
      <rPr>
        <sz val="11"/>
        <color rgb="FFC00000"/>
        <rFont val="Calibri"/>
        <family val="2"/>
        <scheme val="minor"/>
      </rPr>
      <t>*</t>
    </r>
  </si>
  <si>
    <t>Generate Plant Name</t>
  </si>
  <si>
    <r>
      <t xml:space="preserve">State </t>
    </r>
    <r>
      <rPr>
        <sz val="11"/>
        <color rgb="FFC00000"/>
        <rFont val="Calibri"/>
        <family val="2"/>
        <scheme val="minor"/>
      </rPr>
      <t>*</t>
    </r>
  </si>
  <si>
    <t>VALIDATION</t>
  </si>
  <si>
    <t>SDKJFHS</t>
  </si>
  <si>
    <t xml:space="preserve">=AND(
LEN([Business  Phone])=14,)
IF(ISERROR(FIND("(",  [Business Phone],1)),
FALSE,
(FIND("(", [Business  Phone]) = 1)
),
IF(ISERROR(FIND(")",  [Business Phone],5)),
FALSE,
(FIND(")", [Business  Phone], 5) = 5)
),
IF(ISERROR(FIND(" ",  [Business Phone],6)),
FALSE,
(FIND(" ", [Business  Phone], 6) = 6)
),
IF(ISERROR(FIND("-",  [Business Phone],10)),
FALSE,
(FIND("-", [Business  Phone], 10) = 10)
),
IF(ISERROR(1*CONCATENATE(MID([Business Phone], 2, 3), MID([Business Phone], 7,  3), MID([Business Phone], 11, 4))),
FALSE,
AND(
1*CONCATENATE(MID([Business Phone], 2, 3), MID([Business Phone], 7, 3),  MID([Business Phone], 11, 4)) &gt; 1000000000,
1*MID([Business  Phone], 2, 3) &lt;&gt; 911,
1*MID([Business  Phone], 7, 3) &lt;&gt; 911,
1*MID([Business  Phone], 7, 3) &lt;&gt; 555
)
)
=AND(
LEN([Business  Phone])=14,
IF(ISERROR(FIND("(",  [Business Phone],1)),
FALSE,
(FIND("(", [Business  Phone]) = 1)
),
IF(ISERROR(FIND(")",  [Business Phone],5)),
FALSE,
(FIND(")", [Business  Phone], 5) = 5)
),
IF(ISERROR(FIND(" ",  [Business Phone],6)),
FALSE,
(FIND(" ", [Business  Phone], 6) = 6)
),
IF(ISERROR(FIND("-",  [Business Phone],10)),
FALSE,
(FIND("-", [Business  Phone], 10) = 10)
),
IF(ISERROR(1*CONCATENATE(MID([Business Phone], 2, 3), MID([Business Phone], 7,  3), MID([Business Phone], 11, 4))),
FALSE,
AND(
1*CONCATENATE(MID([Business Phone], 2, 3), MID([Business Phone], 7, 3),  MID([Business Phone], 11, 4)) &gt; 1000000000,
1*MID([Business  Phone], 2, 3) &lt;&gt; 911,
1*MID([Business  Phone], 7, 3) &lt;&gt; 911,
1*MID([Business  Phone], 7, 3) &lt;&gt; 555
)
)
</t>
  </si>
  <si>
    <t>Country</t>
  </si>
  <si>
    <t>CANADA</t>
  </si>
  <si>
    <t>Cie. 1000</t>
  </si>
  <si>
    <t>Cie. 1210</t>
  </si>
  <si>
    <t>Cie. 2070</t>
  </si>
  <si>
    <t>Cie. 2010</t>
  </si>
  <si>
    <t>Cie. 2400</t>
  </si>
  <si>
    <t>Cie. 2160</t>
  </si>
  <si>
    <t>Cie. 2365</t>
  </si>
  <si>
    <t>Cie.2355</t>
  </si>
  <si>
    <r>
      <t>City</t>
    </r>
    <r>
      <rPr>
        <sz val="11"/>
        <color rgb="FFFF0000"/>
        <rFont val="Calibri"/>
        <family val="2"/>
        <scheme val="minor"/>
      </rPr>
      <t>*</t>
    </r>
  </si>
  <si>
    <t>Resource name for material counting role*</t>
  </si>
  <si>
    <t>ProvCode</t>
  </si>
  <si>
    <t>Location Code</t>
  </si>
  <si>
    <t>Column1</t>
  </si>
  <si>
    <t>51xx</t>
  </si>
  <si>
    <t>Join Tables</t>
  </si>
  <si>
    <t>Yes/No</t>
  </si>
  <si>
    <t>if[Resource name for material counting role]="Care"</t>
  </si>
  <si>
    <t>Reversal Plant</t>
  </si>
  <si>
    <t>If yes, please specify</t>
  </si>
  <si>
    <t>Yes</t>
  </si>
  <si>
    <t xml:space="preserve">Part of a requisition release strategy </t>
  </si>
  <si>
    <t>text</t>
  </si>
  <si>
    <t>if[Part of a requisition release strategy ]="YES"</t>
  </si>
  <si>
    <t xml:space="preserve"> Location Code</t>
  </si>
  <si>
    <t>Drop-down List</t>
  </si>
  <si>
    <t>if([Country]="US",[Un_StateList],[CA_ProvinceList])</t>
  </si>
  <si>
    <t xml:space="preserve"> 1000 - CA | BC,AB,SK,MB,ON,QC,NB,NS</t>
  </si>
  <si>
    <t xml:space="preserve"> 1210 CA | ON</t>
  </si>
  <si>
    <t>2070 - US | IN,IL,KY,TN,MS,LA,AL</t>
  </si>
  <si>
    <t>2010 - US | MI</t>
  </si>
  <si>
    <t>2400 - US | PA</t>
  </si>
  <si>
    <t>2160 US | IA</t>
  </si>
  <si>
    <t>2350 - US | MI</t>
  </si>
  <si>
    <t>2365 - US | WI,MI,IL,MN</t>
  </si>
  <si>
    <t>AND(if([Country]="US",IF[STATE]=" " ,[CA_ProvinceList])</t>
  </si>
  <si>
    <t>concatinate</t>
  </si>
  <si>
    <t xml:space="preserve"> Location Code*</t>
  </si>
  <si>
    <r>
      <t xml:space="preserve">Postal Code/Zip Code </t>
    </r>
    <r>
      <rPr>
        <sz val="11"/>
        <color rgb="FFC00000"/>
        <rFont val="Calibri"/>
        <family val="2"/>
        <scheme val="minor"/>
      </rPr>
      <t>*</t>
    </r>
  </si>
  <si>
    <r>
      <t xml:space="preserve">Plant Address </t>
    </r>
    <r>
      <rPr>
        <sz val="11"/>
        <color rgb="FFC00000"/>
        <rFont val="Calibri"/>
        <family val="2"/>
        <scheme val="minor"/>
      </rPr>
      <t>*</t>
    </r>
  </si>
  <si>
    <r>
      <t xml:space="preserve">Request date </t>
    </r>
    <r>
      <rPr>
        <i/>
        <sz val="10"/>
        <color rgb="FFC00000"/>
        <rFont val="Calibri"/>
        <family val="2"/>
        <scheme val="minor"/>
      </rPr>
      <t>*</t>
    </r>
  </si>
  <si>
    <t>auto</t>
  </si>
  <si>
    <r>
      <t>Contact Name</t>
    </r>
    <r>
      <rPr>
        <sz val="11"/>
        <color rgb="FFC00000"/>
        <rFont val="Calibri"/>
        <family val="2"/>
        <scheme val="minor"/>
      </rPr>
      <t xml:space="preserve"> *</t>
    </r>
  </si>
  <si>
    <t>Phone Number *</t>
  </si>
  <si>
    <t>PLANT GENERAL DATA</t>
  </si>
  <si>
    <t>STORAGE LOCATION GENERAL DATA</t>
  </si>
  <si>
    <t>Storage Location Number *</t>
  </si>
  <si>
    <r>
      <t xml:space="preserve">Position/Department </t>
    </r>
    <r>
      <rPr>
        <sz val="11"/>
        <color rgb="FFC00000"/>
        <rFont val="Calibri"/>
        <family val="2"/>
        <scheme val="minor"/>
      </rPr>
      <t>*</t>
    </r>
  </si>
  <si>
    <r>
      <t xml:space="preserve">Storage Location Name </t>
    </r>
    <r>
      <rPr>
        <sz val="11"/>
        <color rgb="FFFF0000"/>
        <rFont val="Calibri"/>
        <family val="2"/>
        <scheme val="minor"/>
      </rPr>
      <t>*</t>
    </r>
  </si>
  <si>
    <r>
      <t xml:space="preserve">Storage Location Address is the same as Plant 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00000"/>
        <rFont val="Calibri"/>
        <family val="2"/>
        <scheme val="minor"/>
      </rPr>
      <t>*</t>
    </r>
  </si>
  <si>
    <t>Cost center *</t>
  </si>
  <si>
    <r>
      <t xml:space="preserve">Expected Date of Completion </t>
    </r>
    <r>
      <rPr>
        <sz val="10"/>
        <color rgb="FF002060"/>
        <rFont val="Calibri"/>
        <family val="2"/>
        <scheme val="minor"/>
      </rPr>
      <t>[YYYY/MM/DD]</t>
    </r>
  </si>
  <si>
    <t>SECTION 2 - APPROVAL</t>
  </si>
  <si>
    <r>
      <t>Approved by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Audit &amp; Compliance Manager </t>
    </r>
    <r>
      <rPr>
        <sz val="11"/>
        <color rgb="FFC00000"/>
        <rFont val="Calibri"/>
        <family val="2"/>
        <scheme val="minor"/>
      </rPr>
      <t>*</t>
    </r>
  </si>
  <si>
    <t>Date *</t>
  </si>
  <si>
    <t>Appoved *</t>
  </si>
  <si>
    <r>
      <t xml:space="preserve">Plant Number </t>
    </r>
    <r>
      <rPr>
        <sz val="10"/>
        <color rgb="FF002060"/>
        <rFont val="Calibri"/>
        <family val="2"/>
        <scheme val="minor"/>
      </rPr>
      <t>[approved]</t>
    </r>
  </si>
  <si>
    <t>Plant Name Propoced</t>
  </si>
  <si>
    <t xml:space="preserve">Plant Name  Approved </t>
  </si>
  <si>
    <t>Plant Search  Proposed</t>
  </si>
  <si>
    <t>Plant Serch Approved</t>
  </si>
  <si>
    <t>Additional Information</t>
  </si>
  <si>
    <t xml:space="preserve">Expected Date of Completion </t>
  </si>
  <si>
    <r>
      <t>Plant number reference</t>
    </r>
    <r>
      <rPr>
        <sz val="10"/>
        <color rgb="FF002060"/>
        <rFont val="Calibri"/>
        <family val="2"/>
        <scheme val="minor"/>
      </rPr>
      <t xml:space="preserve"> </t>
    </r>
    <r>
      <rPr>
        <sz val="11"/>
        <color rgb="FFC00000"/>
        <rFont val="Calibri"/>
        <family val="2"/>
        <scheme val="minor"/>
      </rPr>
      <t>*</t>
    </r>
  </si>
  <si>
    <r>
      <t xml:space="preserve">St.Loc. Country </t>
    </r>
    <r>
      <rPr>
        <sz val="11"/>
        <color rgb="FFC00000"/>
        <rFont val="Calibri"/>
        <family val="2"/>
        <scheme val="minor"/>
      </rPr>
      <t>*</t>
    </r>
  </si>
  <si>
    <r>
      <t xml:space="preserve">St.Loc. State </t>
    </r>
    <r>
      <rPr>
        <sz val="11"/>
        <color rgb="FFC00000"/>
        <rFont val="Calibri"/>
        <family val="2"/>
        <scheme val="minor"/>
      </rPr>
      <t>*</t>
    </r>
  </si>
  <si>
    <r>
      <t>St.Loc. City</t>
    </r>
    <r>
      <rPr>
        <sz val="11"/>
        <color rgb="FFFF0000"/>
        <rFont val="Calibri"/>
        <family val="2"/>
        <scheme val="minor"/>
      </rPr>
      <t>*</t>
    </r>
  </si>
  <si>
    <r>
      <t xml:space="preserve">St.Loc.  Plant Address </t>
    </r>
    <r>
      <rPr>
        <sz val="11"/>
        <color rgb="FFC00000"/>
        <rFont val="Calibri"/>
        <family val="2"/>
        <scheme val="minor"/>
      </rPr>
      <t>*</t>
    </r>
  </si>
  <si>
    <r>
      <t xml:space="preserve"> St.Loc. Postal/Zip Code </t>
    </r>
    <r>
      <rPr>
        <sz val="11"/>
        <color rgb="FFC00000"/>
        <rFont val="Calibri"/>
        <family val="2"/>
        <scheme val="minor"/>
      </rPr>
      <t>*</t>
    </r>
  </si>
  <si>
    <t>St.Loc. Phone Number *</t>
  </si>
  <si>
    <r>
      <t>St.Loc. Contact Name</t>
    </r>
    <r>
      <rPr>
        <sz val="11"/>
        <color rgb="FFC00000"/>
        <rFont val="Calibri"/>
        <family val="2"/>
        <scheme val="minor"/>
      </rPr>
      <t xml:space="preserve"> *</t>
    </r>
  </si>
  <si>
    <r>
      <t xml:space="preserve">St.Loc. Department </t>
    </r>
    <r>
      <rPr>
        <sz val="11"/>
        <color rgb="FFC00000"/>
        <rFont val="Calibri"/>
        <family val="2"/>
        <scheme val="minor"/>
      </rPr>
      <t>*</t>
    </r>
  </si>
  <si>
    <t>Stor. Loc. Number Appr</t>
  </si>
  <si>
    <t xml:space="preserve">long text </t>
  </si>
  <si>
    <t xml:space="preserve">2000UPPER characters </t>
  </si>
  <si>
    <t>date</t>
  </si>
  <si>
    <t>auto date</t>
  </si>
  <si>
    <t xml:space="preserve">text </t>
  </si>
  <si>
    <t>.</t>
  </si>
  <si>
    <t>number specif.</t>
  </si>
  <si>
    <t>counting</t>
  </si>
  <si>
    <t>number validation</t>
  </si>
  <si>
    <t>MD Office approval</t>
  </si>
  <si>
    <t>Long text</t>
  </si>
  <si>
    <t>name</t>
  </si>
  <si>
    <r>
      <t xml:space="preserve">Plant Number </t>
    </r>
    <r>
      <rPr>
        <sz val="10"/>
        <color rgb="FFFF0000"/>
        <rFont val="Calibri"/>
        <family val="2"/>
        <scheme val="minor"/>
      </rPr>
      <t>[approved]</t>
    </r>
  </si>
  <si>
    <t>App Additional Information</t>
  </si>
  <si>
    <t>App. Additional Information</t>
  </si>
  <si>
    <t>long text</t>
  </si>
  <si>
    <t>Storage Location Name *</t>
  </si>
  <si>
    <t>Materials Type</t>
  </si>
  <si>
    <t>Canada, Unated State</t>
  </si>
  <si>
    <t>Loco, Car</t>
  </si>
  <si>
    <t>MD_Plant [Concant Plant Name]</t>
  </si>
  <si>
    <t>MD_State List, MD Province List</t>
  </si>
  <si>
    <t>Columms</t>
  </si>
  <si>
    <r>
      <t xml:space="preserve">Material Description (Short Text) </t>
    </r>
    <r>
      <rPr>
        <sz val="11"/>
        <color rgb="FFC0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/>
    </r>
  </si>
  <si>
    <t>Max 40 UPPER CASE Character  - Format : NOUN {space} ADJECTIVE {space} ATTRIBUTE</t>
  </si>
  <si>
    <t xml:space="preserve">example: RESISTOR ADJUSTABLE 1OHM 220WATT </t>
  </si>
  <si>
    <r>
      <t xml:space="preserve">Material Long Description </t>
    </r>
    <r>
      <rPr>
        <sz val="11"/>
        <color rgb="FFC0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/>
    </r>
  </si>
  <si>
    <t xml:space="preserve">Max 2000 UPPER CASE CHARACTER  </t>
  </si>
  <si>
    <r>
      <t xml:space="preserve">Base Unit of Measure </t>
    </r>
    <r>
      <rPr>
        <sz val="11"/>
        <color rgb="FFC00000"/>
        <rFont val="Calibri"/>
        <family val="2"/>
        <scheme val="minor"/>
      </rPr>
      <t>*</t>
    </r>
  </si>
  <si>
    <t xml:space="preserve">Conversion Factor </t>
  </si>
  <si>
    <t>For alternate Unit of Measure - example: 1 Box = 12 EA</t>
  </si>
  <si>
    <r>
      <t xml:space="preserve">Plant </t>
    </r>
    <r>
      <rPr>
        <sz val="11"/>
        <color rgb="FFC00000"/>
        <rFont val="Calibri"/>
        <family val="2"/>
        <scheme val="minor"/>
      </rPr>
      <t>*</t>
    </r>
  </si>
  <si>
    <t>MD Plant</t>
  </si>
  <si>
    <r>
      <t>Storage Location</t>
    </r>
    <r>
      <rPr>
        <sz val="11"/>
        <color rgb="FFC00000"/>
        <rFont val="Calibri"/>
        <family val="2"/>
        <scheme val="minor"/>
      </rPr>
      <t xml:space="preserve"> *</t>
    </r>
  </si>
  <si>
    <t>Material number reference</t>
  </si>
  <si>
    <t>number</t>
  </si>
  <si>
    <t>Material Class *</t>
  </si>
  <si>
    <t>Material Numbering Range</t>
  </si>
  <si>
    <r>
      <t xml:space="preserve">Supplier ID or Manufacturing number </t>
    </r>
    <r>
      <rPr>
        <sz val="11"/>
        <color rgb="FFC00000"/>
        <rFont val="Calibri"/>
        <family val="2"/>
        <scheme val="minor"/>
      </rPr>
      <t>*</t>
    </r>
  </si>
  <si>
    <r>
      <t>Supplier Part ID or Manufacturing Part Number (MPN)</t>
    </r>
    <r>
      <rPr>
        <sz val="11"/>
        <color rgb="FFC00000"/>
        <rFont val="Calibri"/>
        <family val="2"/>
        <scheme val="minor"/>
      </rPr>
      <t xml:space="preserve"> *</t>
    </r>
  </si>
  <si>
    <r>
      <t>Material Group</t>
    </r>
    <r>
      <rPr>
        <sz val="11"/>
        <color rgb="FFC00000"/>
        <rFont val="Calibri"/>
        <family val="2"/>
        <scheme val="minor"/>
      </rPr>
      <t xml:space="preserve"> *</t>
    </r>
  </si>
  <si>
    <r>
      <t xml:space="preserve">Purchasing Group </t>
    </r>
    <r>
      <rPr>
        <sz val="11"/>
        <color rgb="FFC00000"/>
        <rFont val="Calibri"/>
        <family val="2"/>
        <scheme val="minor"/>
      </rPr>
      <t>*</t>
    </r>
  </si>
  <si>
    <r>
      <t xml:space="preserve">Stock Material </t>
    </r>
    <r>
      <rPr>
        <sz val="11"/>
        <color rgb="FFC00000"/>
        <rFont val="Calibri"/>
        <family val="2"/>
        <scheme val="minor"/>
      </rPr>
      <t>*</t>
    </r>
  </si>
  <si>
    <t>If yes, complete the fields below</t>
  </si>
  <si>
    <t xml:space="preserve"> Yes/No</t>
  </si>
  <si>
    <r>
      <t>Material Requirement Planning [MRP] Type</t>
    </r>
    <r>
      <rPr>
        <sz val="11"/>
        <color rgb="FFC00000"/>
        <rFont val="Calibri"/>
        <family val="2"/>
        <scheme val="minor"/>
      </rPr>
      <t xml:space="preserve"> *</t>
    </r>
  </si>
  <si>
    <t>Safety Stock</t>
  </si>
  <si>
    <t>Reorder Point</t>
  </si>
  <si>
    <t>2 desimuls</t>
  </si>
  <si>
    <t>Maximum stock level</t>
  </si>
  <si>
    <t>Minimum lot size</t>
  </si>
  <si>
    <t>Rounding Value</t>
  </si>
  <si>
    <t>Valuation Class</t>
  </si>
  <si>
    <t>Default value for valuated stocks of this material</t>
  </si>
  <si>
    <r>
      <t xml:space="preserve">Price </t>
    </r>
    <r>
      <rPr>
        <sz val="10"/>
        <color theme="1"/>
        <rFont val="Calibri"/>
        <family val="2"/>
        <scheme val="minor"/>
      </rPr>
      <t>per unit</t>
    </r>
  </si>
  <si>
    <t>Currency</t>
  </si>
  <si>
    <t>USD/CAD</t>
  </si>
  <si>
    <r>
      <t xml:space="preserve">Material will be valuated </t>
    </r>
    <r>
      <rPr>
        <sz val="11"/>
        <color rgb="FFC0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 </t>
    </r>
  </si>
  <si>
    <t>if the new material is valuated</t>
  </si>
  <si>
    <r>
      <rPr>
        <sz val="11"/>
        <rFont val="Calibri"/>
        <family val="2"/>
        <scheme val="minor"/>
      </rPr>
      <t xml:space="preserve">Valuation Type </t>
    </r>
    <r>
      <rPr>
        <sz val="11"/>
        <color rgb="FFC00000"/>
        <rFont val="Calibri"/>
        <family val="2"/>
        <scheme val="minor"/>
      </rPr>
      <t>*</t>
    </r>
  </si>
  <si>
    <r>
      <t>Approved by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P&amp;SM Category </t>
    </r>
    <r>
      <rPr>
        <sz val="11"/>
        <color rgb="FFC00000"/>
        <rFont val="Calibri"/>
        <family val="2"/>
        <scheme val="minor"/>
      </rPr>
      <t>*</t>
    </r>
  </si>
  <si>
    <t>Date</t>
  </si>
  <si>
    <r>
      <t xml:space="preserve">Approved by P&amp;SM Audit &amp; Compliance </t>
    </r>
    <r>
      <rPr>
        <sz val="11"/>
        <color rgb="FFC0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/>
    </r>
  </si>
  <si>
    <t>[Required for OTM Only]</t>
  </si>
  <si>
    <t>Approved</t>
  </si>
  <si>
    <t>TODAY()</t>
  </si>
  <si>
    <t>Approved/Denied</t>
  </si>
  <si>
    <t>MD Unit of Measure [Cal Base Unit of Measure]</t>
  </si>
  <si>
    <t>http://team.cn.ca/sites/ops/sm/Lists/MD Unit of Measure/AllItems.aspx</t>
  </si>
  <si>
    <t>http://team.cn.ca/sites/ops/sm/Lists/MD%20Storage%20Location/AllItems.aspx</t>
  </si>
  <si>
    <t>http://team.cn.ca/sites/ops/sm/Lists/MD Material Class/AllItems.aspx</t>
  </si>
  <si>
    <t>http://team.cn.ca/sites/ops/sm/Lists/MD%20Purchasing%20Group/AllItems.aspx</t>
  </si>
  <si>
    <t>http://team.cn.ca/sites/ops/sm/Lists/MD%20Plant%20Creation%20Form/AllItems.aspx</t>
  </si>
  <si>
    <t>url:</t>
  </si>
  <si>
    <t xml:space="preserve">choise </t>
  </si>
  <si>
    <t>choise</t>
  </si>
  <si>
    <r>
      <t xml:space="preserve">Automatic PO </t>
    </r>
    <r>
      <rPr>
        <sz val="11"/>
        <color rgb="FFC00000"/>
        <rFont val="Calibri"/>
        <family val="2"/>
        <scheme val="minor"/>
      </rPr>
      <t>*</t>
    </r>
    <r>
      <rPr>
        <sz val="11"/>
        <color rgb="FF002060"/>
        <rFont val="Calibri"/>
        <family val="2"/>
        <scheme val="minor"/>
      </rPr>
      <t xml:space="preserve"> </t>
    </r>
  </si>
  <si>
    <t>Requestor</t>
  </si>
  <si>
    <t>requestDate</t>
  </si>
  <si>
    <t>Plant</t>
  </si>
  <si>
    <t>MaxStock</t>
  </si>
  <si>
    <t xml:space="preserve">Auto PO </t>
  </si>
  <si>
    <t>Stock</t>
  </si>
  <si>
    <t>MRP Type</t>
  </si>
  <si>
    <t>Round Value</t>
  </si>
  <si>
    <t>Val Type</t>
  </si>
  <si>
    <t>SINGLE MATERIAL CREATION REQUEST FORM</t>
  </si>
  <si>
    <t>P&amp;SM MASTER DATA</t>
  </si>
  <si>
    <t>New item Form</t>
  </si>
  <si>
    <t>SharePoint Columns Name</t>
  </si>
  <si>
    <t>SharePoint Format</t>
  </si>
  <si>
    <t>SharePoint Validation</t>
  </si>
  <si>
    <t>Columns of Titles</t>
  </si>
  <si>
    <t>step by step</t>
  </si>
  <si>
    <r>
      <t xml:space="preserve">Department </t>
    </r>
    <r>
      <rPr>
        <sz val="16"/>
        <color rgb="FFFF0000"/>
        <rFont val="Agency FB"/>
        <family val="2"/>
      </rPr>
      <t>*</t>
    </r>
  </si>
  <si>
    <r>
      <t>Expected Date of Completion</t>
    </r>
    <r>
      <rPr>
        <sz val="16"/>
        <color rgb="FFFF0000"/>
        <rFont val="Agency FB"/>
        <family val="2"/>
      </rPr>
      <t xml:space="preserve"> *</t>
    </r>
  </si>
  <si>
    <t>Short Descript</t>
  </si>
  <si>
    <r>
      <t xml:space="preserve">Base Unit of Measure </t>
    </r>
    <r>
      <rPr>
        <sz val="16"/>
        <color rgb="FFC00000"/>
        <rFont val="Agency FB"/>
        <family val="2"/>
      </rPr>
      <t>*</t>
    </r>
    <r>
      <rPr>
        <sz val="11"/>
        <color theme="1"/>
        <rFont val="Calibri"/>
        <family val="2"/>
        <scheme val="minor"/>
      </rPr>
      <t/>
    </r>
  </si>
  <si>
    <r>
      <t xml:space="preserve">Plant </t>
    </r>
    <r>
      <rPr>
        <sz val="16"/>
        <color rgb="FFC00000"/>
        <rFont val="Agency FB"/>
        <family val="2"/>
      </rPr>
      <t>*</t>
    </r>
  </si>
  <si>
    <r>
      <t>Storage Location</t>
    </r>
    <r>
      <rPr>
        <sz val="16"/>
        <color rgb="FFC00000"/>
        <rFont val="Agency FB"/>
        <family val="2"/>
      </rPr>
      <t xml:space="preserve"> *</t>
    </r>
  </si>
  <si>
    <t>http://team.cn.ca/sites/ops/sm/Lists/MD%20%20MATERIAL%20CREATION%20REQUEST%20FORM/AllItems.aspx</t>
  </si>
  <si>
    <t>Excepcted Date</t>
  </si>
  <si>
    <t>Long Description</t>
  </si>
  <si>
    <t>Base UoM</t>
  </si>
  <si>
    <t>alternate UoM</t>
  </si>
  <si>
    <t>Add Plant Number Column</t>
  </si>
  <si>
    <t>Add a column - ID UoM</t>
  </si>
  <si>
    <t>Add ID Storage Location column</t>
  </si>
  <si>
    <t>Storage Location</t>
  </si>
  <si>
    <t>MN Reference</t>
  </si>
  <si>
    <t xml:space="preserve">SUBMIT </t>
  </si>
  <si>
    <t>Edit form View</t>
  </si>
  <si>
    <t>2 chiled tables -Section 1, Section2</t>
  </si>
  <si>
    <t>SharePoint List link</t>
  </si>
  <si>
    <t>Edit/Approved Form Veiw</t>
  </si>
  <si>
    <t>to be completed by P&amp;SM Category Department</t>
  </si>
  <si>
    <t>Material Class</t>
  </si>
  <si>
    <t>MN Range</t>
  </si>
  <si>
    <t>Ex: 25-50-XX</t>
  </si>
  <si>
    <r>
      <t xml:space="preserve">Material Class </t>
    </r>
    <r>
      <rPr>
        <sz val="16"/>
        <color rgb="FFC00000"/>
        <rFont val="Agency FB"/>
        <family val="2"/>
      </rPr>
      <t>*</t>
    </r>
    <r>
      <rPr>
        <sz val="11"/>
        <color theme="1"/>
        <rFont val="Calibri"/>
        <family val="2"/>
        <scheme val="minor"/>
      </rPr>
      <t/>
    </r>
  </si>
  <si>
    <r>
      <t xml:space="preserve">Supplier ID or Manufacturing number </t>
    </r>
    <r>
      <rPr>
        <sz val="16"/>
        <color rgb="FFC00000"/>
        <rFont val="Agency FB"/>
        <family val="2"/>
      </rPr>
      <t>*</t>
    </r>
  </si>
  <si>
    <t>MD Material Class [CalMaterials Class Name]</t>
  </si>
  <si>
    <t>Add a column : ID Material Class</t>
  </si>
  <si>
    <t>XX-XX-XX</t>
  </si>
  <si>
    <t>Vend ID or MN</t>
  </si>
  <si>
    <r>
      <t>Supplier Part ID or Manufacturing Part Number (MPN)</t>
    </r>
    <r>
      <rPr>
        <sz val="16"/>
        <color rgb="FFC00000"/>
        <rFont val="Agency FB"/>
        <family val="2"/>
      </rPr>
      <t xml:space="preserve"> *</t>
    </r>
  </si>
  <si>
    <t>VPartID or MPN</t>
  </si>
  <si>
    <r>
      <t>Material Group</t>
    </r>
    <r>
      <rPr>
        <sz val="16"/>
        <color rgb="FFC00000"/>
        <rFont val="Agency FB"/>
        <family val="2"/>
      </rPr>
      <t xml:space="preserve"> *</t>
    </r>
  </si>
  <si>
    <r>
      <t xml:space="preserve">Purchasing Group </t>
    </r>
    <r>
      <rPr>
        <sz val="16"/>
        <color rgb="FFC00000"/>
        <rFont val="Agency FB"/>
        <family val="2"/>
      </rPr>
      <t>*</t>
    </r>
  </si>
  <si>
    <r>
      <t>Material Group</t>
    </r>
    <r>
      <rPr>
        <sz val="11"/>
        <color rgb="FFC00000"/>
        <rFont val="Calibri"/>
        <family val="2"/>
        <scheme val="minor"/>
      </rPr>
      <t xml:space="preserve"> </t>
    </r>
  </si>
  <si>
    <t xml:space="preserve">Purchasing Group </t>
  </si>
  <si>
    <r>
      <t xml:space="preserve">Automatic PO </t>
    </r>
    <r>
      <rPr>
        <sz val="16"/>
        <color rgb="FFC00000"/>
        <rFont val="Agency FB"/>
        <family val="2"/>
      </rPr>
      <t>*</t>
    </r>
    <r>
      <rPr>
        <sz val="16"/>
        <color rgb="FF002060"/>
        <rFont val="Agency FB"/>
        <family val="2"/>
      </rPr>
      <t xml:space="preserve"> </t>
    </r>
  </si>
  <si>
    <t>Stock Material *</t>
  </si>
  <si>
    <t>If yes, complete the fields below:</t>
  </si>
  <si>
    <t>Price per unit</t>
  </si>
  <si>
    <t>Material will be valuated *</t>
  </si>
  <si>
    <t xml:space="preserve"> if the new material is valuated:</t>
  </si>
  <si>
    <t>Valuation Type *</t>
  </si>
  <si>
    <t>Section 2</t>
  </si>
  <si>
    <t>Section 3</t>
  </si>
  <si>
    <t xml:space="preserve"> Section 1 + Section 2 + Section3 as following</t>
  </si>
  <si>
    <t xml:space="preserve"> all columns from New Item View  in  Section 1  +  Section2 as  following:</t>
  </si>
  <si>
    <r>
      <t>Approved by</t>
    </r>
    <r>
      <rPr>
        <sz val="16"/>
        <color rgb="FFC00000"/>
        <rFont val="Agency FB"/>
        <family val="2"/>
      </rPr>
      <t xml:space="preserve"> </t>
    </r>
    <r>
      <rPr>
        <sz val="16"/>
        <rFont val="Agency FB"/>
        <family val="2"/>
      </rPr>
      <t xml:space="preserve">P&amp;SM Category </t>
    </r>
    <r>
      <rPr>
        <sz val="16"/>
        <color rgb="FFC00000"/>
        <rFont val="Agency FB"/>
        <family val="2"/>
      </rPr>
      <t>*</t>
    </r>
  </si>
  <si>
    <r>
      <t xml:space="preserve">Approved by P&amp;SM Audit &amp; Compliance </t>
    </r>
    <r>
      <rPr>
        <sz val="16"/>
        <color rgb="FFC00000"/>
        <rFont val="Agency FB"/>
        <family val="2"/>
      </rPr>
      <t>*</t>
    </r>
    <r>
      <rPr>
        <sz val="11"/>
        <color theme="1"/>
        <rFont val="Calibri"/>
        <family val="2"/>
        <scheme val="minor"/>
      </rPr>
      <t/>
    </r>
  </si>
  <si>
    <t>Section 1 from New Item View</t>
  </si>
  <si>
    <t>SL end Use</t>
  </si>
  <si>
    <t>Storage Location  - End use</t>
  </si>
  <si>
    <t>MD Purchasing group [Cal Purchasing Group Name]</t>
  </si>
  <si>
    <t>MD MRP Type [Cal MRP Type Name]</t>
  </si>
  <si>
    <t>Min Size</t>
  </si>
  <si>
    <t>Unit Price</t>
  </si>
  <si>
    <t>Valuated</t>
  </si>
  <si>
    <t>choice Yes/No</t>
  </si>
  <si>
    <t>choice  Yes/No</t>
  </si>
  <si>
    <t xml:space="preserve">choice </t>
  </si>
  <si>
    <t>Additional1</t>
  </si>
  <si>
    <t>Additional2</t>
  </si>
  <si>
    <t>CountBaseUnitofMeasure</t>
  </si>
  <si>
    <t>Validation</t>
  </si>
  <si>
    <r>
      <t>Material Description (Short Text)</t>
    </r>
    <r>
      <rPr>
        <sz val="16"/>
        <color rgb="FFFF0000"/>
        <rFont val="Agency FB"/>
        <family val="2"/>
      </rPr>
      <t xml:space="preserve"> *</t>
    </r>
  </si>
  <si>
    <r>
      <t xml:space="preserve">Material Long Description </t>
    </r>
    <r>
      <rPr>
        <sz val="16"/>
        <color rgb="FFFF0000"/>
        <rFont val="Agency FB"/>
        <family val="2"/>
      </rPr>
      <t>*</t>
    </r>
  </si>
  <si>
    <r>
      <t xml:space="preserve">Requestor Name </t>
    </r>
    <r>
      <rPr>
        <sz val="16"/>
        <color rgb="FFC00000"/>
        <rFont val="Agency FB"/>
        <family val="2"/>
      </rPr>
      <t>*</t>
    </r>
  </si>
  <si>
    <r>
      <t xml:space="preserve">Requestor Name </t>
    </r>
    <r>
      <rPr>
        <i/>
        <sz val="14"/>
        <color rgb="FFC00000"/>
        <rFont val="Agency FB"/>
        <family val="2"/>
      </rPr>
      <t>*</t>
    </r>
  </si>
  <si>
    <t xml:space="preserve">error count </t>
  </si>
  <si>
    <t>Show Error</t>
  </si>
  <si>
    <t>PLEASE  CLEACK ENTER TO GO   INTO NEXT CELL</t>
  </si>
  <si>
    <t>Section 2. To be completed by P&amp;SM Category Department</t>
  </si>
  <si>
    <r>
      <t>Supplier Part ID or Manufacturing Part Number (MPN)</t>
    </r>
    <r>
      <rPr>
        <sz val="14"/>
        <color rgb="FFC00000"/>
        <rFont val="Agency FB"/>
        <family val="2"/>
      </rPr>
      <t xml:space="preserve"> *</t>
    </r>
  </si>
  <si>
    <r>
      <t xml:space="preserve">Supplier ID or Manufacturing number </t>
    </r>
    <r>
      <rPr>
        <sz val="14"/>
        <color rgb="FFC00000"/>
        <rFont val="Agency FB"/>
        <family val="2"/>
      </rPr>
      <t>*</t>
    </r>
  </si>
  <si>
    <r>
      <t xml:space="preserve">Automatic PO </t>
    </r>
    <r>
      <rPr>
        <sz val="14"/>
        <color rgb="FFC00000"/>
        <rFont val="Agency FB"/>
        <family val="2"/>
      </rPr>
      <t>*</t>
    </r>
    <r>
      <rPr>
        <sz val="14"/>
        <color rgb="FF002060"/>
        <rFont val="Agency FB"/>
        <family val="2"/>
      </rPr>
      <t xml:space="preserve"> </t>
    </r>
  </si>
  <si>
    <r>
      <t xml:space="preserve">Purchasing Group </t>
    </r>
    <r>
      <rPr>
        <b/>
        <sz val="14"/>
        <color rgb="FFC00000"/>
        <rFont val="Agency FB"/>
        <family val="2"/>
      </rPr>
      <t>*</t>
    </r>
  </si>
  <si>
    <r>
      <t>Material Group</t>
    </r>
    <r>
      <rPr>
        <b/>
        <sz val="14"/>
        <color rgb="FFC00000"/>
        <rFont val="Agency FB"/>
        <family val="2"/>
      </rPr>
      <t xml:space="preserve"> *</t>
    </r>
  </si>
  <si>
    <r>
      <t xml:space="preserve">Material Class </t>
    </r>
    <r>
      <rPr>
        <b/>
        <sz val="14"/>
        <color rgb="FFC00000"/>
        <rFont val="Agency FB"/>
        <family val="2"/>
      </rPr>
      <t>*</t>
    </r>
    <r>
      <rPr>
        <sz val="11"/>
        <color theme="1"/>
        <rFont val="Calibri"/>
        <family val="2"/>
        <scheme val="minor"/>
      </rPr>
      <t/>
    </r>
  </si>
  <si>
    <r>
      <t xml:space="preserve">Stock Material </t>
    </r>
    <r>
      <rPr>
        <sz val="14"/>
        <color rgb="FFFF0000"/>
        <rFont val="Agency FB"/>
        <family val="2"/>
      </rPr>
      <t>*</t>
    </r>
  </si>
  <si>
    <t>Request Date</t>
  </si>
  <si>
    <t>Submit</t>
  </si>
  <si>
    <r>
      <t xml:space="preserve">Base Unit of Measure </t>
    </r>
    <r>
      <rPr>
        <b/>
        <sz val="16"/>
        <color rgb="FFC00000"/>
        <rFont val="Agency FB"/>
        <family val="2"/>
      </rPr>
      <t>*</t>
    </r>
    <r>
      <rPr>
        <sz val="11"/>
        <color theme="1"/>
        <rFont val="Calibri"/>
        <family val="2"/>
        <scheme val="minor"/>
      </rPr>
      <t/>
    </r>
  </si>
  <si>
    <r>
      <t xml:space="preserve">Plant </t>
    </r>
    <r>
      <rPr>
        <b/>
        <sz val="16"/>
        <color rgb="FFC00000"/>
        <rFont val="Agency FB"/>
        <family val="2"/>
      </rPr>
      <t>*</t>
    </r>
  </si>
  <si>
    <r>
      <t>Storage Location</t>
    </r>
    <r>
      <rPr>
        <b/>
        <sz val="16"/>
        <color rgb="FFC00000"/>
        <rFont val="Agency FB"/>
        <family val="2"/>
      </rPr>
      <t xml:space="preserve"> *</t>
    </r>
  </si>
  <si>
    <t xml:space="preserve"> SINGLE MATERIAL CREATION REQUEST FORM</t>
  </si>
  <si>
    <t xml:space="preserve">Step 1. Request approval </t>
  </si>
  <si>
    <t>Request Denied</t>
  </si>
  <si>
    <t>write the reason for the Denied Request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</si>
</sst>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&lt;=9999999]###\-####;###\-###\-####"/>
    <numFmt numFmtId="165" formatCode="yyyy\-mm\-dd;@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Humnst777 Cn BT"/>
      <family val="2"/>
    </font>
    <font>
      <u/>
      <sz val="11"/>
      <color theme="1"/>
      <name val="Humnst777 Cn BT"/>
      <family val="2"/>
    </font>
    <font>
      <sz val="11"/>
      <color theme="1"/>
      <name val="Humnst777 Cn BT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Agency FB"/>
      <family val="2"/>
    </font>
    <font>
      <sz val="18"/>
      <name val="Agency FB"/>
      <family val="2"/>
    </font>
    <font>
      <i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Agency FB"/>
      <family val="2"/>
    </font>
    <font>
      <sz val="16"/>
      <color rgb="FFFF0000"/>
      <name val="Agency FB"/>
      <family val="2"/>
    </font>
    <font>
      <sz val="16"/>
      <color rgb="FFC00000"/>
      <name val="Agency FB"/>
      <family val="2"/>
    </font>
    <font>
      <sz val="14"/>
      <color theme="1"/>
      <name val="Agency FB"/>
      <family val="2"/>
    </font>
    <font>
      <b/>
      <sz val="11"/>
      <color theme="4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rgb="FF002060"/>
      <name val="Agency FB"/>
      <family val="2"/>
    </font>
    <font>
      <sz val="12"/>
      <color theme="1"/>
      <name val="Agency FB"/>
      <family val="2"/>
    </font>
    <font>
      <sz val="14"/>
      <color rgb="FFC00000"/>
      <name val="Agency FB"/>
      <family val="2"/>
    </font>
    <font>
      <i/>
      <sz val="14"/>
      <color theme="1"/>
      <name val="Agency FB"/>
      <family val="2"/>
    </font>
    <font>
      <i/>
      <sz val="14"/>
      <color rgb="FFC00000"/>
      <name val="Agency FB"/>
      <family val="2"/>
    </font>
    <font>
      <sz val="18"/>
      <color theme="0"/>
      <name val="Agency FB"/>
      <family val="2"/>
    </font>
    <font>
      <b/>
      <sz val="20"/>
      <color theme="0"/>
      <name val="Agency FB"/>
      <family val="2"/>
    </font>
    <font>
      <sz val="16"/>
      <color theme="0"/>
      <name val="Agency FB"/>
      <family val="2"/>
    </font>
    <font>
      <sz val="14"/>
      <color rgb="FF002060"/>
      <name val="Agency FB"/>
      <family val="2"/>
    </font>
    <font>
      <sz val="14"/>
      <color rgb="FFFF0000"/>
      <name val="Agency FB"/>
      <family val="2"/>
    </font>
    <font>
      <sz val="14"/>
      <name val="Agency FB"/>
      <family val="2"/>
    </font>
    <font>
      <b/>
      <sz val="14"/>
      <color theme="1"/>
      <name val="Agency FB"/>
      <family val="2"/>
    </font>
    <font>
      <b/>
      <sz val="14"/>
      <color rgb="FFC00000"/>
      <name val="Agency FB"/>
      <family val="2"/>
    </font>
    <font>
      <b/>
      <sz val="16"/>
      <color theme="1"/>
      <name val="Agency FB"/>
      <family val="2"/>
    </font>
    <font>
      <b/>
      <sz val="16"/>
      <color rgb="FFC00000"/>
      <name val="Agency FB"/>
      <family val="2"/>
    </font>
    <font>
      <sz val="14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5B5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86664"/>
        <bgColor indexed="64"/>
      </patternFill>
    </fill>
    <fill>
      <patternFill patternType="solid">
        <fgColor rgb="FFD7F0F0"/>
        <bgColor indexed="64"/>
      </patternFill>
    </fill>
    <fill>
      <patternFill patternType="solid">
        <fgColor rgb="FF265856"/>
        <bgColor indexed="64"/>
      </patternFill>
    </fill>
    <fill>
      <patternFill patternType="solid">
        <fgColor rgb="FFFF505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5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0" fontId="5" fillId="5" borderId="0" applyNumberFormat="0" applyBorder="0" applyAlignment="0" applyProtection="0"/>
    <xf numFmtId="43" fontId="1" fillId="0" borderId="0" applyFont="0" applyFill="0" applyBorder="0" applyAlignment="0" applyProtection="0"/>
  </cellStyleXfs>
  <cellXfs count="392">
    <xf numFmtId="0" fontId="0" fillId="0" borderId="0" xfId="0"/>
    <xf numFmtId="0" fontId="2" fillId="2" borderId="0" xfId="1" applyFont="1" applyFill="1"/>
    <xf numFmtId="0" fontId="1" fillId="0" borderId="0" xfId="1"/>
    <xf numFmtId="0" fontId="0" fillId="0" borderId="1" xfId="0" applyBorder="1"/>
    <xf numFmtId="0" fontId="4" fillId="0" borderId="1" xfId="2" applyBorder="1"/>
    <xf numFmtId="0" fontId="0" fillId="0" borderId="2" xfId="0" applyFont="1" applyBorder="1"/>
    <xf numFmtId="0" fontId="0" fillId="0" borderId="1" xfId="0" applyFill="1" applyBorder="1"/>
    <xf numFmtId="0" fontId="0" fillId="0" borderId="2" xfId="0" applyNumberFormat="1" applyFont="1" applyBorder="1"/>
    <xf numFmtId="0" fontId="3" fillId="3" borderId="0" xfId="0" applyFont="1" applyFill="1" applyBorder="1"/>
    <xf numFmtId="0" fontId="0" fillId="0" borderId="2" xfId="1" applyNumberFormat="1" applyFont="1" applyBorder="1" applyAlignment="1"/>
    <xf numFmtId="0" fontId="3" fillId="3" borderId="0" xfId="1" applyNumberFormat="1" applyFont="1" applyFill="1" applyBorder="1" applyAlignment="1"/>
    <xf numFmtId="0" fontId="3" fillId="3" borderId="0" xfId="0" applyNumberFormat="1" applyFont="1" applyFill="1" applyBorder="1"/>
    <xf numFmtId="0" fontId="0" fillId="4" borderId="2" xfId="0" applyFont="1" applyFill="1" applyBorder="1"/>
    <xf numFmtId="0" fontId="0" fillId="0" borderId="0" xfId="0" applyAlignment="1">
      <alignment horizontal="left"/>
    </xf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8" borderId="0" xfId="0" applyFill="1" applyBorder="1" applyAlignment="1">
      <alignment vertical="top"/>
    </xf>
    <xf numFmtId="0" fontId="0" fillId="6" borderId="0" xfId="0" applyFill="1" applyBorder="1" applyAlignment="1"/>
    <xf numFmtId="0" fontId="0" fillId="8" borderId="0" xfId="0" applyFill="1" applyBorder="1" applyAlignment="1"/>
    <xf numFmtId="0" fontId="0" fillId="7" borderId="0" xfId="0" applyFill="1"/>
    <xf numFmtId="0" fontId="0" fillId="0" borderId="0" xfId="0" applyFill="1"/>
    <xf numFmtId="0" fontId="0" fillId="0" borderId="0" xfId="0" applyFill="1" applyAlignment="1"/>
    <xf numFmtId="0" fontId="0" fillId="0" borderId="0" xfId="0" applyFill="1" applyBorder="1" applyAlignment="1">
      <alignment vertical="top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6" borderId="0" xfId="0" applyFill="1"/>
    <xf numFmtId="0" fontId="0" fillId="0" borderId="2" xfId="0" applyFont="1" applyBorder="1" applyAlignment="1">
      <alignment horizontal="left"/>
    </xf>
    <xf numFmtId="0" fontId="0" fillId="9" borderId="0" xfId="0" applyFill="1"/>
    <xf numFmtId="0" fontId="0" fillId="9" borderId="0" xfId="0" applyFill="1" applyBorder="1" applyAlignment="1"/>
    <xf numFmtId="0" fontId="0" fillId="9" borderId="0" xfId="0" applyFill="1" applyAlignment="1"/>
    <xf numFmtId="0" fontId="0" fillId="9" borderId="0" xfId="0" quotePrefix="1" applyFill="1" applyAlignment="1">
      <alignment vertical="top"/>
    </xf>
    <xf numFmtId="0" fontId="13" fillId="12" borderId="0" xfId="0" applyFont="1" applyFill="1" applyAlignment="1">
      <alignment wrapText="1"/>
    </xf>
    <xf numFmtId="0" fontId="13" fillId="12" borderId="14" xfId="0" applyFont="1" applyFill="1" applyBorder="1"/>
    <xf numFmtId="0" fontId="13" fillId="13" borderId="0" xfId="0" applyFont="1" applyFill="1"/>
    <xf numFmtId="0" fontId="13" fillId="13" borderId="14" xfId="0" applyFont="1" applyFill="1" applyBorder="1"/>
    <xf numFmtId="0" fontId="13" fillId="9" borderId="0" xfId="0" applyFont="1" applyFill="1"/>
    <xf numFmtId="0" fontId="13" fillId="9" borderId="14" xfId="0" applyFont="1" applyFill="1" applyBorder="1"/>
    <xf numFmtId="0" fontId="13" fillId="2" borderId="0" xfId="0" applyFont="1" applyFill="1"/>
    <xf numFmtId="0" fontId="13" fillId="2" borderId="14" xfId="0" applyFont="1" applyFill="1" applyBorder="1"/>
    <xf numFmtId="0" fontId="13" fillId="14" borderId="0" xfId="0" applyFont="1" applyFill="1"/>
    <xf numFmtId="0" fontId="13" fillId="14" borderId="14" xfId="0" applyFont="1" applyFill="1" applyBorder="1"/>
    <xf numFmtId="0" fontId="13" fillId="15" borderId="0" xfId="0" applyFont="1" applyFill="1"/>
    <xf numFmtId="0" fontId="13" fillId="15" borderId="14" xfId="0" applyFont="1" applyFill="1" applyBorder="1"/>
    <xf numFmtId="0" fontId="13" fillId="16" borderId="0" xfId="0" applyFont="1" applyFill="1"/>
    <xf numFmtId="0" fontId="13" fillId="16" borderId="14" xfId="0" applyFont="1" applyFill="1" applyBorder="1"/>
    <xf numFmtId="0" fontId="0" fillId="0" borderId="0" xfId="0" applyFont="1" applyBorder="1"/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5" fillId="0" borderId="0" xfId="3" applyFont="1" applyFill="1" applyBorder="1" applyAlignment="1">
      <alignment horizontal="left"/>
    </xf>
    <xf numFmtId="0" fontId="5" fillId="0" borderId="0" xfId="3" applyFont="1" applyFill="1" applyBorder="1"/>
    <xf numFmtId="0" fontId="0" fillId="6" borderId="0" xfId="0" applyFill="1" applyBorder="1" applyAlignment="1">
      <alignment horizontal="left"/>
    </xf>
    <xf numFmtId="0" fontId="0" fillId="6" borderId="1" xfId="0" applyFill="1" applyBorder="1"/>
    <xf numFmtId="0" fontId="14" fillId="0" borderId="0" xfId="0" applyFont="1" applyFill="1"/>
    <xf numFmtId="0" fontId="14" fillId="0" borderId="0" xfId="3" applyFont="1" applyFill="1" applyAlignment="1">
      <alignment horizontal="left"/>
    </xf>
    <xf numFmtId="0" fontId="14" fillId="0" borderId="0" xfId="3" applyFont="1" applyFill="1"/>
    <xf numFmtId="0" fontId="14" fillId="0" borderId="0" xfId="0" applyFont="1"/>
    <xf numFmtId="0" fontId="14" fillId="0" borderId="2" xfId="0" applyFont="1" applyBorder="1"/>
    <xf numFmtId="0" fontId="14" fillId="0" borderId="2" xfId="0" applyFont="1" applyBorder="1" applyAlignment="1">
      <alignment horizontal="left"/>
    </xf>
    <xf numFmtId="0" fontId="11" fillId="11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4" fillId="0" borderId="0" xfId="0" applyFont="1" applyBorder="1"/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9" borderId="0" xfId="1" applyFont="1" applyFill="1"/>
    <xf numFmtId="0" fontId="0" fillId="9" borderId="1" xfId="0" applyFill="1" applyBorder="1"/>
    <xf numFmtId="0" fontId="0" fillId="6" borderId="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Border="1"/>
    <xf numFmtId="0" fontId="0" fillId="6" borderId="17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28" xfId="0" applyFill="1" applyBorder="1"/>
    <xf numFmtId="0" fontId="0" fillId="6" borderId="29" xfId="0" applyFill="1" applyBorder="1"/>
    <xf numFmtId="0" fontId="0" fillId="6" borderId="27" xfId="0" applyFill="1" applyBorder="1" applyAlignment="1"/>
    <xf numFmtId="0" fontId="0" fillId="6" borderId="29" xfId="0" applyFill="1" applyBorder="1" applyAlignment="1"/>
    <xf numFmtId="0" fontId="0" fillId="9" borderId="0" xfId="0" applyFill="1" applyBorder="1" applyAlignment="1">
      <alignment horizontal="center"/>
    </xf>
    <xf numFmtId="49" fontId="0" fillId="6" borderId="0" xfId="0" applyNumberFormat="1" applyFill="1" applyBorder="1" applyAlignment="1">
      <alignment horizontal="center"/>
    </xf>
    <xf numFmtId="0" fontId="0" fillId="9" borderId="0" xfId="0" applyFill="1" applyBorder="1"/>
    <xf numFmtId="49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left"/>
    </xf>
    <xf numFmtId="0" fontId="0" fillId="0" borderId="0" xfId="1" applyFont="1" applyBorder="1"/>
    <xf numFmtId="0" fontId="0" fillId="9" borderId="0" xfId="1" applyFont="1" applyFill="1" applyBorder="1"/>
    <xf numFmtId="0" fontId="0" fillId="6" borderId="19" xfId="0" applyFill="1" applyBorder="1"/>
    <xf numFmtId="0" fontId="0" fillId="6" borderId="21" xfId="0" applyFill="1" applyBorder="1"/>
    <xf numFmtId="0" fontId="17" fillId="6" borderId="0" xfId="0" applyFont="1" applyFill="1" applyBorder="1" applyAlignment="1">
      <alignment horizontal="center"/>
    </xf>
    <xf numFmtId="0" fontId="0" fillId="17" borderId="0" xfId="0" applyFill="1" applyBorder="1"/>
    <xf numFmtId="0" fontId="0" fillId="8" borderId="19" xfId="0" applyFill="1" applyBorder="1" applyAlignment="1"/>
    <xf numFmtId="0" fontId="0" fillId="6" borderId="20" xfId="0" applyFill="1" applyBorder="1"/>
    <xf numFmtId="0" fontId="0" fillId="6" borderId="21" xfId="0" applyFill="1" applyBorder="1" applyAlignment="1">
      <alignment horizontal="right"/>
    </xf>
    <xf numFmtId="0" fontId="0" fillId="6" borderId="33" xfId="0" applyFill="1" applyBorder="1"/>
    <xf numFmtId="0" fontId="0" fillId="6" borderId="34" xfId="0" applyFill="1" applyBorder="1"/>
    <xf numFmtId="0" fontId="0" fillId="9" borderId="34" xfId="0" applyFill="1" applyBorder="1"/>
    <xf numFmtId="0" fontId="0" fillId="9" borderId="36" xfId="0" applyFill="1" applyBorder="1" applyAlignment="1"/>
    <xf numFmtId="0" fontId="0" fillId="9" borderId="36" xfId="0" applyFill="1" applyBorder="1"/>
    <xf numFmtId="0" fontId="0" fillId="9" borderId="39" xfId="0" applyFill="1" applyBorder="1"/>
    <xf numFmtId="0" fontId="14" fillId="6" borderId="15" xfId="0" applyFont="1" applyFill="1" applyBorder="1" applyAlignment="1"/>
    <xf numFmtId="0" fontId="0" fillId="8" borderId="25" xfId="0" applyFill="1" applyBorder="1" applyAlignment="1"/>
    <xf numFmtId="0" fontId="0" fillId="0" borderId="25" xfId="0" applyBorder="1"/>
    <xf numFmtId="0" fontId="0" fillId="6" borderId="11" xfId="0" applyFill="1" applyBorder="1" applyAlignment="1">
      <alignment horizontal="center" wrapText="1"/>
    </xf>
    <xf numFmtId="0" fontId="0" fillId="6" borderId="12" xfId="0" applyFill="1" applyBorder="1" applyAlignment="1">
      <alignment horizontal="center" wrapText="1"/>
    </xf>
    <xf numFmtId="0" fontId="0" fillId="6" borderId="13" xfId="0" applyFill="1" applyBorder="1" applyAlignment="1">
      <alignment horizontal="center" wrapText="1"/>
    </xf>
    <xf numFmtId="0" fontId="0" fillId="6" borderId="14" xfId="0" applyFill="1" applyBorder="1" applyAlignment="1">
      <alignment horizontal="center" wrapText="1"/>
    </xf>
    <xf numFmtId="0" fontId="0" fillId="6" borderId="0" xfId="0" applyFill="1" applyBorder="1" applyAlignment="1">
      <alignment horizontal="center" wrapText="1"/>
    </xf>
    <xf numFmtId="0" fontId="0" fillId="6" borderId="15" xfId="0" applyFill="1" applyBorder="1" applyAlignment="1">
      <alignment horizontal="center" wrapText="1"/>
    </xf>
    <xf numFmtId="0" fontId="0" fillId="6" borderId="16" xfId="0" applyFill="1" applyBorder="1" applyAlignment="1">
      <alignment horizontal="center" wrapText="1"/>
    </xf>
    <xf numFmtId="0" fontId="0" fillId="6" borderId="17" xfId="0" applyFill="1" applyBorder="1" applyAlignment="1">
      <alignment horizontal="center" wrapText="1"/>
    </xf>
    <xf numFmtId="0" fontId="0" fillId="6" borderId="18" xfId="0" applyFill="1" applyBorder="1" applyAlignment="1">
      <alignment horizontal="center" wrapText="1"/>
    </xf>
    <xf numFmtId="0" fontId="0" fillId="0" borderId="0" xfId="0" applyFill="1" applyBorder="1" applyAlignment="1">
      <alignment vertical="top"/>
    </xf>
    <xf numFmtId="0" fontId="6" fillId="6" borderId="0" xfId="0" applyFont="1" applyFill="1" applyBorder="1"/>
    <xf numFmtId="0" fontId="6" fillId="6" borderId="0" xfId="0" applyFont="1" applyFill="1"/>
    <xf numFmtId="0" fontId="6" fillId="6" borderId="0" xfId="0" applyFont="1" applyFill="1" applyBorder="1" applyAlignment="1"/>
    <xf numFmtId="0" fontId="6" fillId="8" borderId="0" xfId="0" applyFont="1" applyFill="1" applyBorder="1" applyAlignment="1"/>
    <xf numFmtId="0" fontId="18" fillId="6" borderId="25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18" fillId="6" borderId="26" xfId="0" applyFont="1" applyFill="1" applyBorder="1" applyAlignment="1">
      <alignment horizontal="center"/>
    </xf>
    <xf numFmtId="0" fontId="0" fillId="2" borderId="30" xfId="0" applyFill="1" applyBorder="1"/>
    <xf numFmtId="0" fontId="0" fillId="2" borderId="31" xfId="0" applyFill="1" applyBorder="1"/>
    <xf numFmtId="0" fontId="0" fillId="2" borderId="32" xfId="0" applyFill="1" applyBorder="1"/>
    <xf numFmtId="0" fontId="6" fillId="6" borderId="33" xfId="0" applyFont="1" applyFill="1" applyBorder="1"/>
    <xf numFmtId="0" fontId="6" fillId="6" borderId="25" xfId="0" applyFont="1" applyFill="1" applyBorder="1"/>
    <xf numFmtId="0" fontId="6" fillId="9" borderId="0" xfId="0" applyFont="1" applyFill="1" applyBorder="1"/>
    <xf numFmtId="0" fontId="6" fillId="6" borderId="35" xfId="0" applyFont="1" applyFill="1" applyBorder="1"/>
    <xf numFmtId="0" fontId="0" fillId="0" borderId="0" xfId="0" applyFill="1" applyBorder="1" applyAlignment="1">
      <alignment horizontal="left"/>
    </xf>
    <xf numFmtId="0" fontId="0" fillId="0" borderId="25" xfId="0" applyFill="1" applyBorder="1" applyAlignment="1"/>
    <xf numFmtId="0" fontId="0" fillId="17" borderId="19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0" fontId="10" fillId="6" borderId="25" xfId="0" applyFont="1" applyFill="1" applyBorder="1"/>
    <xf numFmtId="0" fontId="0" fillId="6" borderId="26" xfId="0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0" fillId="6" borderId="26" xfId="0" applyFill="1" applyBorder="1" applyAlignment="1"/>
    <xf numFmtId="0" fontId="10" fillId="0" borderId="0" xfId="0" applyFont="1" applyFill="1" applyBorder="1" applyAlignment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Fill="1"/>
    <xf numFmtId="0" fontId="0" fillId="0" borderId="0" xfId="0" quotePrefix="1" applyFill="1" applyAlignment="1"/>
    <xf numFmtId="0" fontId="0" fillId="9" borderId="0" xfId="0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2" fillId="0" borderId="1" xfId="0" applyFont="1" applyFill="1" applyBorder="1"/>
    <xf numFmtId="0" fontId="2" fillId="0" borderId="0" xfId="0" applyFont="1" applyFill="1"/>
    <xf numFmtId="0" fontId="2" fillId="9" borderId="0" xfId="0" applyFont="1" applyFill="1"/>
    <xf numFmtId="0" fontId="0" fillId="18" borderId="0" xfId="0" applyFill="1"/>
    <xf numFmtId="0" fontId="14" fillId="6" borderId="0" xfId="0" applyFont="1" applyFill="1"/>
    <xf numFmtId="0" fontId="14" fillId="6" borderId="0" xfId="0" applyFont="1" applyFill="1" applyAlignment="1">
      <alignment horizontal="center" vertical="center"/>
    </xf>
    <xf numFmtId="0" fontId="26" fillId="8" borderId="0" xfId="0" applyFont="1" applyFill="1" applyBorder="1" applyAlignment="1"/>
    <xf numFmtId="0" fontId="29" fillId="8" borderId="0" xfId="0" applyFont="1" applyFill="1" applyBorder="1" applyAlignment="1"/>
    <xf numFmtId="0" fontId="26" fillId="6" borderId="0" xfId="0" applyFont="1" applyFill="1" applyBorder="1" applyAlignment="1">
      <alignment vertical="top"/>
    </xf>
    <xf numFmtId="0" fontId="26" fillId="6" borderId="0" xfId="0" applyFont="1" applyFill="1" applyBorder="1" applyAlignment="1"/>
    <xf numFmtId="0" fontId="0" fillId="6" borderId="0" xfId="0" applyFill="1" applyBorder="1" applyAlignment="1">
      <alignment wrapText="1"/>
    </xf>
    <xf numFmtId="0" fontId="14" fillId="6" borderId="0" xfId="0" applyFont="1" applyFill="1" applyBorder="1" applyAlignment="1"/>
    <xf numFmtId="0" fontId="23" fillId="6" borderId="0" xfId="0" applyFont="1" applyFill="1" applyAlignment="1"/>
    <xf numFmtId="0" fontId="14" fillId="6" borderId="0" xfId="0" applyFont="1" applyFill="1" applyAlignment="1">
      <alignment vertical="center"/>
    </xf>
    <xf numFmtId="0" fontId="25" fillId="6" borderId="3" xfId="0" applyFont="1" applyFill="1" applyBorder="1"/>
    <xf numFmtId="0" fontId="14" fillId="6" borderId="6" xfId="0" applyFont="1" applyFill="1" applyBorder="1"/>
    <xf numFmtId="0" fontId="14" fillId="6" borderId="0" xfId="0" applyFont="1" applyFill="1" applyBorder="1"/>
    <xf numFmtId="0" fontId="14" fillId="6" borderId="7" xfId="0" applyFont="1" applyFill="1" applyBorder="1"/>
    <xf numFmtId="0" fontId="14" fillId="6" borderId="0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2" fillId="6" borderId="0" xfId="0" applyFont="1" applyFill="1" applyBorder="1"/>
    <xf numFmtId="0" fontId="14" fillId="6" borderId="7" xfId="0" applyFont="1" applyFill="1" applyBorder="1" applyAlignment="1"/>
    <xf numFmtId="0" fontId="24" fillId="6" borderId="0" xfId="0" applyFont="1" applyFill="1" applyBorder="1"/>
    <xf numFmtId="0" fontId="0" fillId="6" borderId="7" xfId="0" applyFill="1" applyBorder="1" applyAlignment="1">
      <alignment wrapText="1"/>
    </xf>
    <xf numFmtId="0" fontId="30" fillId="0" borderId="0" xfId="0" applyFont="1"/>
    <xf numFmtId="0" fontId="3" fillId="19" borderId="3" xfId="0" applyFont="1" applyFill="1" applyBorder="1"/>
    <xf numFmtId="0" fontId="21" fillId="19" borderId="4" xfId="0" applyFont="1" applyFill="1" applyBorder="1"/>
    <xf numFmtId="0" fontId="21" fillId="19" borderId="5" xfId="0" applyFont="1" applyFill="1" applyBorder="1"/>
    <xf numFmtId="0" fontId="25" fillId="0" borderId="0" xfId="0" applyFont="1"/>
    <xf numFmtId="0" fontId="33" fillId="6" borderId="1" xfId="0" applyFont="1" applyFill="1" applyBorder="1"/>
    <xf numFmtId="0" fontId="10" fillId="6" borderId="1" xfId="0" applyFont="1" applyFill="1" applyBorder="1"/>
    <xf numFmtId="2" fontId="0" fillId="9" borderId="40" xfId="4" applyNumberFormat="1" applyFont="1" applyFill="1" applyBorder="1" applyAlignment="1"/>
    <xf numFmtId="2" fontId="0" fillId="9" borderId="40" xfId="4" applyNumberFormat="1" applyFont="1" applyFill="1" applyBorder="1" applyAlignment="1">
      <alignment horizontal="right"/>
    </xf>
    <xf numFmtId="0" fontId="26" fillId="9" borderId="0" xfId="0" applyFont="1" applyFill="1" applyBorder="1" applyAlignment="1">
      <alignment wrapText="1"/>
    </xf>
    <xf numFmtId="0" fontId="26" fillId="9" borderId="0" xfId="0" applyFont="1" applyFill="1" applyBorder="1" applyAlignment="1"/>
    <xf numFmtId="0" fontId="27" fillId="6" borderId="0" xfId="0" applyFont="1" applyFill="1" applyBorder="1" applyAlignment="1"/>
    <xf numFmtId="0" fontId="33" fillId="6" borderId="0" xfId="0" applyFont="1" applyFill="1" applyBorder="1" applyAlignment="1"/>
    <xf numFmtId="0" fontId="3" fillId="19" borderId="4" xfId="0" applyFont="1" applyFill="1" applyBorder="1"/>
    <xf numFmtId="0" fontId="31" fillId="6" borderId="0" xfId="0" applyFont="1" applyFill="1" applyBorder="1"/>
    <xf numFmtId="0" fontId="27" fillId="6" borderId="0" xfId="0" applyFont="1" applyFill="1" applyBorder="1"/>
    <xf numFmtId="0" fontId="10" fillId="6" borderId="0" xfId="0" applyFont="1" applyFill="1" applyBorder="1"/>
    <xf numFmtId="0" fontId="0" fillId="9" borderId="0" xfId="0" applyFill="1" applyBorder="1" applyAlignment="1">
      <alignment horizontal="right"/>
    </xf>
    <xf numFmtId="0" fontId="0" fillId="6" borderId="0" xfId="0" applyFill="1" applyBorder="1" applyAlignment="1">
      <alignment horizontal="right"/>
    </xf>
    <xf numFmtId="0" fontId="29" fillId="9" borderId="0" xfId="0" applyFont="1" applyFill="1" applyBorder="1"/>
    <xf numFmtId="0" fontId="26" fillId="6" borderId="0" xfId="0" applyFont="1" applyFill="1" applyBorder="1" applyAlignment="1">
      <alignment horizontal="center"/>
    </xf>
    <xf numFmtId="0" fontId="33" fillId="6" borderId="19" xfId="0" applyFont="1" applyFill="1" applyBorder="1" applyAlignment="1">
      <alignment horizontal="center"/>
    </xf>
    <xf numFmtId="0" fontId="33" fillId="6" borderId="20" xfId="0" applyFont="1" applyFill="1" applyBorder="1" applyAlignment="1">
      <alignment horizontal="center"/>
    </xf>
    <xf numFmtId="0" fontId="33" fillId="6" borderId="21" xfId="0" applyFont="1" applyFill="1" applyBorder="1" applyAlignment="1">
      <alignment horizontal="center"/>
    </xf>
    <xf numFmtId="0" fontId="26" fillId="0" borderId="0" xfId="0" applyFont="1" applyBorder="1"/>
    <xf numFmtId="0" fontId="29" fillId="0" borderId="0" xfId="0" applyFont="1" applyFill="1" applyBorder="1"/>
    <xf numFmtId="0" fontId="0" fillId="9" borderId="0" xfId="0" applyFill="1" applyBorder="1" applyAlignment="1">
      <alignment vertical="center" wrapText="1"/>
    </xf>
    <xf numFmtId="14" fontId="0" fillId="6" borderId="0" xfId="0" applyNumberFormat="1" applyFill="1" applyBorder="1"/>
    <xf numFmtId="0" fontId="37" fillId="0" borderId="0" xfId="0" applyFont="1" applyFill="1" applyAlignment="1"/>
    <xf numFmtId="14" fontId="14" fillId="6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21" fillId="22" borderId="6" xfId="0" applyFont="1" applyFill="1" applyBorder="1"/>
    <xf numFmtId="0" fontId="21" fillId="22" borderId="0" xfId="0" applyFont="1" applyFill="1" applyBorder="1"/>
    <xf numFmtId="0" fontId="21" fillId="22" borderId="7" xfId="0" applyFont="1" applyFill="1" applyBorder="1"/>
    <xf numFmtId="0" fontId="40" fillId="22" borderId="0" xfId="0" applyFont="1" applyFill="1" applyBorder="1" applyAlignment="1"/>
    <xf numFmtId="0" fontId="39" fillId="22" borderId="0" xfId="0" applyFont="1" applyFill="1" applyBorder="1" applyAlignment="1"/>
    <xf numFmtId="0" fontId="39" fillId="22" borderId="7" xfId="0" applyFont="1" applyFill="1" applyBorder="1" applyAlignment="1"/>
    <xf numFmtId="0" fontId="3" fillId="22" borderId="0" xfId="0" applyFont="1" applyFill="1" applyBorder="1" applyAlignment="1">
      <alignment vertical="center"/>
    </xf>
    <xf numFmtId="0" fontId="21" fillId="22" borderId="0" xfId="0" applyFont="1" applyFill="1" applyBorder="1" applyAlignment="1">
      <alignment vertical="center"/>
    </xf>
    <xf numFmtId="0" fontId="21" fillId="22" borderId="7" xfId="0" applyFont="1" applyFill="1" applyBorder="1" applyAlignment="1">
      <alignment vertical="center"/>
    </xf>
    <xf numFmtId="0" fontId="21" fillId="22" borderId="0" xfId="0" applyFont="1" applyFill="1" applyBorder="1" applyAlignment="1">
      <alignment horizontal="center" vertical="center"/>
    </xf>
    <xf numFmtId="0" fontId="21" fillId="22" borderId="7" xfId="0" applyFont="1" applyFill="1" applyBorder="1" applyAlignment="1">
      <alignment horizontal="center" vertical="center"/>
    </xf>
    <xf numFmtId="0" fontId="18" fillId="6" borderId="0" xfId="0" applyFont="1" applyFill="1" applyBorder="1" applyAlignment="1">
      <alignment vertical="center"/>
    </xf>
    <xf numFmtId="0" fontId="31" fillId="6" borderId="0" xfId="0" applyFont="1" applyFill="1" applyBorder="1" applyAlignment="1">
      <alignment vertical="top"/>
    </xf>
    <xf numFmtId="0" fontId="32" fillId="6" borderId="0" xfId="0" applyFont="1" applyFill="1" applyBorder="1" applyAlignment="1"/>
    <xf numFmtId="0" fontId="29" fillId="6" borderId="0" xfId="0" applyFont="1" applyFill="1" applyBorder="1" applyAlignment="1"/>
    <xf numFmtId="0" fontId="29" fillId="6" borderId="0" xfId="0" applyFont="1" applyFill="1" applyBorder="1"/>
    <xf numFmtId="39" fontId="0" fillId="6" borderId="11" xfId="4" applyNumberFormat="1" applyFont="1" applyFill="1" applyBorder="1" applyAlignment="1">
      <alignment horizontal="right"/>
    </xf>
    <xf numFmtId="39" fontId="0" fillId="6" borderId="0" xfId="4" applyNumberFormat="1" applyFont="1" applyFill="1" applyBorder="1" applyAlignment="1">
      <alignment horizontal="right"/>
    </xf>
    <xf numFmtId="0" fontId="30" fillId="6" borderId="0" xfId="0" applyFont="1" applyFill="1"/>
    <xf numFmtId="0" fontId="32" fillId="6" borderId="7" xfId="0" applyFont="1" applyFill="1" applyBorder="1" applyAlignment="1"/>
    <xf numFmtId="0" fontId="26" fillId="6" borderId="0" xfId="0" applyFont="1" applyFill="1" applyBorder="1" applyAlignment="1">
      <alignment horizontal="left"/>
    </xf>
    <xf numFmtId="0" fontId="29" fillId="6" borderId="0" xfId="0" applyFont="1" applyFill="1" applyBorder="1" applyAlignment="1">
      <alignment horizontal="left"/>
    </xf>
    <xf numFmtId="0" fontId="35" fillId="9" borderId="0" xfId="0" applyFont="1" applyFill="1" applyBorder="1" applyAlignment="1">
      <alignment horizontal="left" vertical="center" wrapText="1"/>
    </xf>
    <xf numFmtId="0" fontId="35" fillId="9" borderId="0" xfId="0" applyFont="1" applyFill="1" applyBorder="1" applyAlignment="1"/>
    <xf numFmtId="0" fontId="29" fillId="9" borderId="0" xfId="0" applyFont="1" applyFill="1" applyBorder="1" applyAlignment="1">
      <alignment horizontal="left" vertical="center"/>
    </xf>
    <xf numFmtId="0" fontId="29" fillId="9" borderId="0" xfId="0" applyFont="1" applyFill="1" applyBorder="1" applyAlignment="1"/>
    <xf numFmtId="0" fontId="33" fillId="6" borderId="0" xfId="0" applyFont="1" applyFill="1" applyBorder="1" applyAlignment="1">
      <alignment horizontal="center"/>
    </xf>
    <xf numFmtId="0" fontId="31" fillId="6" borderId="0" xfId="0" applyFont="1" applyFill="1" applyBorder="1" applyAlignment="1">
      <alignment horizontal="left" vertical="center"/>
    </xf>
    <xf numFmtId="0" fontId="0" fillId="6" borderId="7" xfId="0" applyFill="1" applyBorder="1" applyAlignment="1"/>
    <xf numFmtId="0" fontId="45" fillId="6" borderId="0" xfId="0" applyFont="1" applyFill="1" applyBorder="1" applyAlignment="1"/>
    <xf numFmtId="0" fontId="41" fillId="21" borderId="6" xfId="0" applyFont="1" applyFill="1" applyBorder="1" applyAlignment="1">
      <alignment vertical="center"/>
    </xf>
    <xf numFmtId="0" fontId="41" fillId="21" borderId="0" xfId="0" applyFont="1" applyFill="1" applyBorder="1" applyAlignment="1">
      <alignment vertical="center"/>
    </xf>
    <xf numFmtId="0" fontId="41" fillId="21" borderId="7" xfId="0" applyFont="1" applyFill="1" applyBorder="1" applyAlignment="1">
      <alignment vertical="center"/>
    </xf>
    <xf numFmtId="0" fontId="14" fillId="22" borderId="0" xfId="0" applyFont="1" applyFill="1" applyBorder="1"/>
    <xf numFmtId="0" fontId="0" fillId="22" borderId="0" xfId="0" applyFill="1" applyBorder="1"/>
    <xf numFmtId="0" fontId="23" fillId="22" borderId="0" xfId="0" applyFont="1" applyFill="1" applyBorder="1" applyAlignment="1"/>
    <xf numFmtId="0" fontId="14" fillId="22" borderId="0" xfId="0" applyFont="1" applyFill="1" applyBorder="1" applyAlignment="1">
      <alignment vertical="center"/>
    </xf>
    <xf numFmtId="0" fontId="14" fillId="22" borderId="0" xfId="0" applyFont="1" applyFill="1" applyBorder="1" applyAlignment="1">
      <alignment horizontal="center" vertical="center"/>
    </xf>
    <xf numFmtId="0" fontId="25" fillId="6" borderId="4" xfId="0" applyFont="1" applyFill="1" applyBorder="1"/>
    <xf numFmtId="0" fontId="3" fillId="23" borderId="3" xfId="0" applyFont="1" applyFill="1" applyBorder="1"/>
    <xf numFmtId="0" fontId="21" fillId="23" borderId="4" xfId="0" applyFont="1" applyFill="1" applyBorder="1"/>
    <xf numFmtId="0" fontId="14" fillId="23" borderId="4" xfId="0" applyFont="1" applyFill="1" applyBorder="1"/>
    <xf numFmtId="0" fontId="0" fillId="23" borderId="4" xfId="0" applyFill="1" applyBorder="1"/>
    <xf numFmtId="0" fontId="26" fillId="0" borderId="0" xfId="0" applyFont="1" applyFill="1" applyBorder="1" applyAlignment="1"/>
    <xf numFmtId="0" fontId="26" fillId="6" borderId="0" xfId="0" applyFont="1" applyFill="1" applyBorder="1"/>
    <xf numFmtId="0" fontId="14" fillId="6" borderId="8" xfId="0" applyFont="1" applyFill="1" applyBorder="1"/>
    <xf numFmtId="0" fontId="14" fillId="6" borderId="9" xfId="0" applyFont="1" applyFill="1" applyBorder="1"/>
    <xf numFmtId="0" fontId="0" fillId="23" borderId="5" xfId="0" applyFill="1" applyBorder="1"/>
    <xf numFmtId="0" fontId="0" fillId="22" borderId="7" xfId="0" applyFill="1" applyBorder="1"/>
    <xf numFmtId="0" fontId="47" fillId="6" borderId="0" xfId="0" applyFont="1" applyFill="1" applyBorder="1" applyAlignment="1"/>
    <xf numFmtId="0" fontId="0" fillId="9" borderId="0" xfId="0" applyFill="1" applyAlignment="1">
      <alignment vertical="center" wrapText="1"/>
    </xf>
    <xf numFmtId="0" fontId="0" fillId="6" borderId="0" xfId="0" applyFill="1" applyBorder="1" applyAlignment="1" applyProtection="1">
      <alignment horizontal="center"/>
      <protection locked="0"/>
    </xf>
    <xf numFmtId="0" fontId="26" fillId="6" borderId="0" xfId="0" applyFont="1" applyFill="1"/>
    <xf numFmtId="0" fontId="0" fillId="2" borderId="0" xfId="0" applyFill="1" applyBorder="1"/>
    <xf numFmtId="0" fontId="0" fillId="2" borderId="7" xfId="0" applyFill="1" applyBorder="1"/>
    <xf numFmtId="0" fontId="26" fillId="2" borderId="0" xfId="0" applyFont="1" applyFill="1" applyBorder="1" applyAlignment="1"/>
    <xf numFmtId="0" fontId="11" fillId="1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8" borderId="0" xfId="0" applyFill="1" applyBorder="1" applyAlignment="1">
      <alignment horizontal="left" vertical="top" wrapText="1"/>
    </xf>
    <xf numFmtId="164" fontId="0" fillId="6" borderId="19" xfId="0" applyNumberFormat="1" applyFill="1" applyBorder="1" applyAlignment="1">
      <alignment horizontal="center"/>
    </xf>
    <xf numFmtId="164" fontId="0" fillId="6" borderId="21" xfId="0" applyNumberFormat="1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17" borderId="19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6" borderId="11" xfId="0" applyFill="1" applyBorder="1" applyAlignment="1">
      <alignment horizontal="left" vertical="top" wrapText="1"/>
    </xf>
    <xf numFmtId="0" fontId="0" fillId="6" borderId="12" xfId="0" applyFill="1" applyBorder="1" applyAlignment="1">
      <alignment horizontal="left" vertical="top" wrapText="1"/>
    </xf>
    <xf numFmtId="0" fontId="0" fillId="6" borderId="13" xfId="0" applyFill="1" applyBorder="1" applyAlignment="1">
      <alignment horizontal="left" vertical="top" wrapText="1"/>
    </xf>
    <xf numFmtId="0" fontId="0" fillId="6" borderId="14" xfId="0" applyFill="1" applyBorder="1" applyAlignment="1">
      <alignment horizontal="left" vertical="top" wrapText="1"/>
    </xf>
    <xf numFmtId="0" fontId="0" fillId="6" borderId="0" xfId="0" applyFill="1" applyBorder="1" applyAlignment="1">
      <alignment horizontal="left" vertical="top" wrapText="1"/>
    </xf>
    <xf numFmtId="0" fontId="0" fillId="6" borderId="15" xfId="0" applyFill="1" applyBorder="1" applyAlignment="1">
      <alignment horizontal="left" vertical="top" wrapText="1"/>
    </xf>
    <xf numFmtId="0" fontId="0" fillId="6" borderId="16" xfId="0" applyFill="1" applyBorder="1" applyAlignment="1">
      <alignment horizontal="left" vertical="top" wrapText="1"/>
    </xf>
    <xf numFmtId="0" fontId="0" fillId="6" borderId="17" xfId="0" applyFill="1" applyBorder="1" applyAlignment="1">
      <alignment horizontal="left" vertical="top" wrapText="1"/>
    </xf>
    <xf numFmtId="0" fontId="0" fillId="6" borderId="18" xfId="0" applyFill="1" applyBorder="1" applyAlignment="1">
      <alignment horizontal="left" vertical="top" wrapText="1"/>
    </xf>
    <xf numFmtId="0" fontId="0" fillId="9" borderId="19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17" fillId="2" borderId="31" xfId="0" applyFont="1" applyFill="1" applyBorder="1" applyAlignment="1">
      <alignment horizontal="center"/>
    </xf>
    <xf numFmtId="164" fontId="0" fillId="9" borderId="19" xfId="0" applyNumberFormat="1" applyFill="1" applyBorder="1" applyAlignment="1">
      <alignment horizontal="center"/>
    </xf>
    <xf numFmtId="164" fontId="0" fillId="9" borderId="21" xfId="0" applyNumberForma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49" fontId="0" fillId="9" borderId="21" xfId="0" applyNumberFormat="1" applyFill="1" applyBorder="1" applyAlignment="1">
      <alignment horizontal="center"/>
    </xf>
    <xf numFmtId="49" fontId="0" fillId="9" borderId="37" xfId="0" applyNumberFormat="1" applyFill="1" applyBorder="1" applyAlignment="1">
      <alignment horizontal="center"/>
    </xf>
    <xf numFmtId="49" fontId="0" fillId="9" borderId="38" xfId="0" applyNumberFormat="1" applyFill="1" applyBorder="1" applyAlignment="1">
      <alignment horizontal="center"/>
    </xf>
    <xf numFmtId="0" fontId="14" fillId="17" borderId="19" xfId="0" applyFont="1" applyFill="1" applyBorder="1" applyAlignment="1">
      <alignment horizontal="center"/>
    </xf>
    <xf numFmtId="0" fontId="14" fillId="17" borderId="20" xfId="0" applyFont="1" applyFill="1" applyBorder="1" applyAlignment="1">
      <alignment horizontal="center"/>
    </xf>
    <xf numFmtId="0" fontId="0" fillId="9" borderId="20" xfId="0" applyFill="1" applyBorder="1" applyAlignment="1">
      <alignment horizontal="center"/>
    </xf>
    <xf numFmtId="0" fontId="17" fillId="7" borderId="30" xfId="0" applyFont="1" applyFill="1" applyBorder="1" applyAlignment="1">
      <alignment horizontal="center"/>
    </xf>
    <xf numFmtId="0" fontId="17" fillId="7" borderId="31" xfId="0" applyFont="1" applyFill="1" applyBorder="1" applyAlignment="1">
      <alignment horizontal="center"/>
    </xf>
    <xf numFmtId="0" fontId="17" fillId="7" borderId="32" xfId="0" applyFont="1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49" fontId="0" fillId="6" borderId="19" xfId="0" applyNumberFormat="1" applyFill="1" applyBorder="1" applyAlignment="1">
      <alignment horizontal="center"/>
    </xf>
    <xf numFmtId="49" fontId="0" fillId="6" borderId="21" xfId="0" applyNumberFormat="1" applyFill="1" applyBorder="1" applyAlignment="1">
      <alignment horizontal="center"/>
    </xf>
    <xf numFmtId="0" fontId="0" fillId="17" borderId="20" xfId="0" applyFill="1" applyBorder="1" applyAlignment="1">
      <alignment horizontal="center"/>
    </xf>
    <xf numFmtId="0" fontId="18" fillId="14" borderId="22" xfId="0" applyFont="1" applyFill="1" applyBorder="1" applyAlignment="1">
      <alignment horizontal="center"/>
    </xf>
    <xf numFmtId="0" fontId="18" fillId="14" borderId="23" xfId="0" applyFont="1" applyFill="1" applyBorder="1" applyAlignment="1">
      <alignment horizontal="center"/>
    </xf>
    <xf numFmtId="0" fontId="18" fillId="14" borderId="24" xfId="0" applyFont="1" applyFill="1" applyBorder="1" applyAlignment="1">
      <alignment horizontal="center"/>
    </xf>
    <xf numFmtId="0" fontId="0" fillId="6" borderId="11" xfId="0" applyFill="1" applyBorder="1" applyAlignment="1">
      <alignment horizontal="center" wrapText="1"/>
    </xf>
    <xf numFmtId="0" fontId="0" fillId="6" borderId="12" xfId="0" applyFill="1" applyBorder="1" applyAlignment="1">
      <alignment horizontal="center" wrapText="1"/>
    </xf>
    <xf numFmtId="0" fontId="0" fillId="6" borderId="13" xfId="0" applyFill="1" applyBorder="1" applyAlignment="1">
      <alignment horizontal="center" wrapText="1"/>
    </xf>
    <xf numFmtId="0" fontId="0" fillId="6" borderId="14" xfId="0" applyFill="1" applyBorder="1" applyAlignment="1">
      <alignment horizontal="center" wrapText="1"/>
    </xf>
    <xf numFmtId="0" fontId="0" fillId="6" borderId="0" xfId="0" applyFill="1" applyBorder="1" applyAlignment="1">
      <alignment horizontal="center" wrapText="1"/>
    </xf>
    <xf numFmtId="0" fontId="0" fillId="6" borderId="15" xfId="0" applyFill="1" applyBorder="1" applyAlignment="1">
      <alignment horizontal="center" wrapText="1"/>
    </xf>
    <xf numFmtId="0" fontId="0" fillId="6" borderId="16" xfId="0" applyFill="1" applyBorder="1" applyAlignment="1">
      <alignment horizontal="center" wrapText="1"/>
    </xf>
    <xf numFmtId="0" fontId="0" fillId="6" borderId="17" xfId="0" applyFill="1" applyBorder="1" applyAlignment="1">
      <alignment horizontal="center" wrapText="1"/>
    </xf>
    <xf numFmtId="0" fontId="0" fillId="6" borderId="18" xfId="0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/>
    </xf>
    <xf numFmtId="0" fontId="17" fillId="6" borderId="2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2" fillId="6" borderId="19" xfId="0" applyFont="1" applyFill="1" applyBorder="1" applyAlignment="1" applyProtection="1">
      <alignment horizontal="center"/>
      <protection locked="0"/>
    </xf>
    <xf numFmtId="0" fontId="32" fillId="6" borderId="20" xfId="0" applyFont="1" applyFill="1" applyBorder="1" applyAlignment="1" applyProtection="1">
      <alignment horizontal="center"/>
      <protection locked="0"/>
    </xf>
    <xf numFmtId="0" fontId="32" fillId="6" borderId="21" xfId="0" applyFont="1" applyFill="1" applyBorder="1" applyAlignment="1" applyProtection="1">
      <alignment horizontal="center"/>
      <protection locked="0"/>
    </xf>
    <xf numFmtId="0" fontId="49" fillId="6" borderId="19" xfId="0" applyFont="1" applyFill="1" applyBorder="1" applyAlignment="1" applyProtection="1">
      <alignment horizontal="center"/>
      <protection locked="0"/>
    </xf>
    <xf numFmtId="0" fontId="49" fillId="6" borderId="20" xfId="0" applyFont="1" applyFill="1" applyBorder="1" applyAlignment="1" applyProtection="1">
      <alignment horizontal="center"/>
      <protection locked="0"/>
    </xf>
    <xf numFmtId="0" fontId="49" fillId="6" borderId="21" xfId="0" applyFont="1" applyFill="1" applyBorder="1" applyAlignment="1" applyProtection="1">
      <alignment horizontal="center"/>
      <protection locked="0"/>
    </xf>
    <xf numFmtId="165" fontId="44" fillId="6" borderId="19" xfId="0" applyNumberFormat="1" applyFont="1" applyFill="1" applyBorder="1" applyAlignment="1" applyProtection="1">
      <alignment horizontal="center" vertical="center"/>
      <protection locked="0"/>
    </xf>
    <xf numFmtId="165" fontId="44" fillId="6" borderId="20" xfId="0" applyNumberFormat="1" applyFont="1" applyFill="1" applyBorder="1" applyAlignment="1" applyProtection="1">
      <alignment horizontal="center" vertical="center"/>
      <protection locked="0"/>
    </xf>
    <xf numFmtId="165" fontId="44" fillId="6" borderId="21" xfId="0" applyNumberFormat="1" applyFont="1" applyFill="1" applyBorder="1" applyAlignment="1" applyProtection="1">
      <alignment horizontal="center" vertical="center"/>
      <protection locked="0"/>
    </xf>
    <xf numFmtId="165" fontId="29" fillId="6" borderId="19" xfId="0" applyNumberFormat="1" applyFont="1" applyFill="1" applyBorder="1" applyAlignment="1" applyProtection="1">
      <alignment horizontal="center" vertical="center"/>
    </xf>
    <xf numFmtId="165" fontId="29" fillId="6" borderId="20" xfId="0" applyNumberFormat="1" applyFont="1" applyFill="1" applyBorder="1" applyAlignment="1" applyProtection="1">
      <alignment horizontal="center" vertical="center"/>
    </xf>
    <xf numFmtId="165" fontId="29" fillId="6" borderId="21" xfId="0" applyNumberFormat="1" applyFont="1" applyFill="1" applyBorder="1" applyAlignment="1" applyProtection="1">
      <alignment horizontal="center" vertical="center"/>
    </xf>
    <xf numFmtId="0" fontId="26" fillId="6" borderId="14" xfId="0" applyFont="1" applyFill="1" applyBorder="1" applyAlignment="1">
      <alignment horizontal="right"/>
    </xf>
    <xf numFmtId="0" fontId="26" fillId="6" borderId="0" xfId="0" applyFont="1" applyFill="1" applyBorder="1" applyAlignment="1">
      <alignment horizontal="right"/>
    </xf>
    <xf numFmtId="0" fontId="26" fillId="6" borderId="15" xfId="0" applyFont="1" applyFill="1" applyBorder="1" applyAlignment="1">
      <alignment horizontal="right"/>
    </xf>
    <xf numFmtId="0" fontId="32" fillId="6" borderId="11" xfId="0" applyFont="1" applyFill="1" applyBorder="1" applyAlignment="1" applyProtection="1">
      <alignment horizontal="left" vertical="top" wrapText="1"/>
      <protection locked="0"/>
    </xf>
    <xf numFmtId="0" fontId="32" fillId="6" borderId="12" xfId="0" applyFont="1" applyFill="1" applyBorder="1" applyAlignment="1" applyProtection="1">
      <alignment horizontal="left" vertical="top" wrapText="1"/>
      <protection locked="0"/>
    </xf>
    <xf numFmtId="0" fontId="32" fillId="6" borderId="13" xfId="0" applyFont="1" applyFill="1" applyBorder="1" applyAlignment="1" applyProtection="1">
      <alignment horizontal="left" vertical="top" wrapText="1"/>
      <protection locked="0"/>
    </xf>
    <xf numFmtId="0" fontId="32" fillId="6" borderId="14" xfId="0" applyFont="1" applyFill="1" applyBorder="1" applyAlignment="1" applyProtection="1">
      <alignment horizontal="left" vertical="top" wrapText="1"/>
      <protection locked="0"/>
    </xf>
    <xf numFmtId="0" fontId="32" fillId="6" borderId="0" xfId="0" applyFont="1" applyFill="1" applyBorder="1" applyAlignment="1" applyProtection="1">
      <alignment horizontal="left" vertical="top" wrapText="1"/>
      <protection locked="0"/>
    </xf>
    <xf numFmtId="0" fontId="32" fillId="6" borderId="15" xfId="0" applyFont="1" applyFill="1" applyBorder="1" applyAlignment="1" applyProtection="1">
      <alignment horizontal="left" vertical="top" wrapText="1"/>
      <protection locked="0"/>
    </xf>
    <xf numFmtId="0" fontId="32" fillId="6" borderId="16" xfId="0" applyFont="1" applyFill="1" applyBorder="1" applyAlignment="1" applyProtection="1">
      <alignment horizontal="left" vertical="top" wrapText="1"/>
      <protection locked="0"/>
    </xf>
    <xf numFmtId="0" fontId="32" fillId="6" borderId="17" xfId="0" applyFont="1" applyFill="1" applyBorder="1" applyAlignment="1" applyProtection="1">
      <alignment horizontal="left" vertical="top" wrapText="1"/>
      <protection locked="0"/>
    </xf>
    <xf numFmtId="0" fontId="32" fillId="6" borderId="18" xfId="0" applyFont="1" applyFill="1" applyBorder="1" applyAlignment="1" applyProtection="1">
      <alignment horizontal="left" vertical="top" wrapText="1"/>
      <protection locked="0"/>
    </xf>
    <xf numFmtId="0" fontId="33" fillId="6" borderId="19" xfId="0" applyFont="1" applyFill="1" applyBorder="1" applyAlignment="1">
      <alignment horizontal="center"/>
    </xf>
    <xf numFmtId="0" fontId="33" fillId="6" borderId="20" xfId="0" applyFont="1" applyFill="1" applyBorder="1" applyAlignment="1">
      <alignment horizontal="center"/>
    </xf>
    <xf numFmtId="0" fontId="33" fillId="6" borderId="21" xfId="0" applyFont="1" applyFill="1" applyBorder="1" applyAlignment="1">
      <alignment horizontal="center"/>
    </xf>
    <xf numFmtId="0" fontId="26" fillId="9" borderId="0" xfId="0" applyFont="1" applyFill="1" applyBorder="1" applyAlignment="1">
      <alignment horizontal="left" vertical="center" wrapText="1"/>
    </xf>
    <xf numFmtId="0" fontId="26" fillId="6" borderId="0" xfId="0" applyFont="1" applyFill="1" applyBorder="1" applyAlignment="1">
      <alignment horizontal="center"/>
    </xf>
    <xf numFmtId="39" fontId="0" fillId="8" borderId="19" xfId="4" applyNumberFormat="1" applyFont="1" applyFill="1" applyBorder="1" applyAlignment="1">
      <alignment horizontal="right"/>
    </xf>
    <xf numFmtId="39" fontId="0" fillId="8" borderId="20" xfId="4" applyNumberFormat="1" applyFont="1" applyFill="1" applyBorder="1" applyAlignment="1">
      <alignment horizontal="right"/>
    </xf>
    <xf numFmtId="39" fontId="0" fillId="8" borderId="21" xfId="4" applyNumberFormat="1" applyFont="1" applyFill="1" applyBorder="1" applyAlignment="1">
      <alignment horizontal="right"/>
    </xf>
    <xf numFmtId="0" fontId="14" fillId="6" borderId="19" xfId="0" applyFont="1" applyFill="1" applyBorder="1" applyAlignment="1" applyProtection="1">
      <alignment horizontal="center"/>
      <protection locked="0"/>
    </xf>
    <xf numFmtId="0" fontId="14" fillId="6" borderId="20" xfId="0" applyFont="1" applyFill="1" applyBorder="1" applyAlignment="1" applyProtection="1">
      <alignment horizontal="center"/>
      <protection locked="0"/>
    </xf>
    <xf numFmtId="0" fontId="14" fillId="6" borderId="21" xfId="0" applyFont="1" applyFill="1" applyBorder="1" applyAlignment="1" applyProtection="1">
      <alignment horizontal="center"/>
      <protection locked="0"/>
    </xf>
    <xf numFmtId="0" fontId="0" fillId="6" borderId="19" xfId="0" applyFill="1" applyBorder="1" applyAlignment="1" applyProtection="1">
      <alignment horizontal="center"/>
      <protection locked="0"/>
    </xf>
    <xf numFmtId="0" fontId="0" fillId="6" borderId="20" xfId="0" applyFill="1" applyBorder="1" applyAlignment="1" applyProtection="1">
      <alignment horizontal="center"/>
      <protection locked="0"/>
    </xf>
    <xf numFmtId="0" fontId="0" fillId="6" borderId="21" xfId="0" applyFill="1" applyBorder="1" applyAlignment="1" applyProtection="1">
      <alignment horizontal="center"/>
      <protection locked="0"/>
    </xf>
    <xf numFmtId="0" fontId="32" fillId="6" borderId="19" xfId="0" applyFont="1" applyFill="1" applyBorder="1" applyAlignment="1">
      <alignment horizontal="center"/>
    </xf>
    <xf numFmtId="0" fontId="32" fillId="6" borderId="20" xfId="0" applyFont="1" applyFill="1" applyBorder="1" applyAlignment="1">
      <alignment horizontal="center"/>
    </xf>
    <xf numFmtId="0" fontId="32" fillId="6" borderId="21" xfId="0" applyFont="1" applyFill="1" applyBorder="1" applyAlignment="1">
      <alignment horizontal="center"/>
    </xf>
    <xf numFmtId="0" fontId="0" fillId="2" borderId="11" xfId="0" applyFill="1" applyBorder="1" applyAlignment="1">
      <alignment horizontal="center" wrapText="1"/>
    </xf>
    <xf numFmtId="0" fontId="0" fillId="2" borderId="12" xfId="0" applyFill="1" applyBorder="1" applyAlignment="1">
      <alignment horizontal="center" wrapText="1"/>
    </xf>
    <xf numFmtId="0" fontId="0" fillId="2" borderId="13" xfId="0" applyFill="1" applyBorder="1" applyAlignment="1">
      <alignment horizontal="center" wrapText="1"/>
    </xf>
    <xf numFmtId="0" fontId="0" fillId="2" borderId="14" xfId="0" applyFill="1" applyBorder="1" applyAlignment="1">
      <alignment horizontal="center" wrapText="1"/>
    </xf>
    <xf numFmtId="0" fontId="0" fillId="2" borderId="0" xfId="0" applyFill="1" applyBorder="1" applyAlignment="1">
      <alignment horizontal="center" wrapText="1"/>
    </xf>
    <xf numFmtId="0" fontId="0" fillId="2" borderId="15" xfId="0" applyFill="1" applyBorder="1" applyAlignment="1">
      <alignment horizontal="center" wrapText="1"/>
    </xf>
    <xf numFmtId="0" fontId="0" fillId="2" borderId="16" xfId="0" applyFill="1" applyBorder="1" applyAlignment="1">
      <alignment horizontal="center" wrapText="1"/>
    </xf>
    <xf numFmtId="0" fontId="0" fillId="2" borderId="17" xfId="0" applyFill="1" applyBorder="1" applyAlignment="1">
      <alignment horizontal="center" wrapText="1"/>
    </xf>
    <xf numFmtId="0" fontId="0" fillId="2" borderId="18" xfId="0" applyFill="1" applyBorder="1" applyAlignment="1">
      <alignment horizontal="center" wrapText="1"/>
    </xf>
    <xf numFmtId="165" fontId="14" fillId="6" borderId="19" xfId="0" applyNumberFormat="1" applyFont="1" applyFill="1" applyBorder="1" applyAlignment="1" applyProtection="1">
      <alignment horizontal="center" vertical="center"/>
      <protection locked="0"/>
    </xf>
    <xf numFmtId="165" fontId="14" fillId="6" borderId="20" xfId="0" applyNumberFormat="1" applyFont="1" applyFill="1" applyBorder="1" applyAlignment="1" applyProtection="1">
      <alignment horizontal="center" vertical="center"/>
      <protection locked="0"/>
    </xf>
    <xf numFmtId="165" fontId="14" fillId="6" borderId="21" xfId="0" applyNumberFormat="1" applyFont="1" applyFill="1" applyBorder="1" applyAlignment="1" applyProtection="1">
      <alignment horizontal="center" vertical="center"/>
      <protection locked="0"/>
    </xf>
    <xf numFmtId="0" fontId="29" fillId="6" borderId="0" xfId="0" applyFont="1" applyFill="1" applyBorder="1" applyAlignment="1">
      <alignment horizontal="center"/>
    </xf>
    <xf numFmtId="0" fontId="29" fillId="6" borderId="15" xfId="0" applyFont="1" applyFill="1" applyBorder="1" applyAlignment="1">
      <alignment horizontal="center"/>
    </xf>
    <xf numFmtId="0" fontId="0" fillId="6" borderId="11" xfId="0" applyFill="1" applyBorder="1" applyAlignment="1" applyProtection="1">
      <alignment horizontal="left" vertical="top" wrapText="1"/>
      <protection locked="0"/>
    </xf>
    <xf numFmtId="0" fontId="0" fillId="6" borderId="12" xfId="0" applyFill="1" applyBorder="1" applyAlignment="1" applyProtection="1">
      <alignment horizontal="left" vertical="top" wrapText="1"/>
      <protection locked="0"/>
    </xf>
    <xf numFmtId="0" fontId="0" fillId="6" borderId="13" xfId="0" applyFill="1" applyBorder="1" applyAlignment="1" applyProtection="1">
      <alignment horizontal="left" vertical="top" wrapText="1"/>
      <protection locked="0"/>
    </xf>
    <xf numFmtId="0" fontId="0" fillId="6" borderId="14" xfId="0" applyFill="1" applyBorder="1" applyAlignment="1" applyProtection="1">
      <alignment horizontal="left" vertical="top" wrapText="1"/>
      <protection locked="0"/>
    </xf>
    <xf numFmtId="0" fontId="0" fillId="6" borderId="0" xfId="0" applyFill="1" applyBorder="1" applyAlignment="1" applyProtection="1">
      <alignment horizontal="left" vertical="top" wrapText="1"/>
      <protection locked="0"/>
    </xf>
    <xf numFmtId="0" fontId="0" fillId="6" borderId="15" xfId="0" applyFill="1" applyBorder="1" applyAlignment="1" applyProtection="1">
      <alignment horizontal="left" vertical="top" wrapText="1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0" fontId="0" fillId="6" borderId="17" xfId="0" applyFill="1" applyBorder="1" applyAlignment="1" applyProtection="1">
      <alignment horizontal="left" vertical="top" wrapText="1"/>
      <protection locked="0"/>
    </xf>
    <xf numFmtId="0" fontId="0" fillId="6" borderId="18" xfId="0" applyFill="1" applyBorder="1" applyAlignment="1" applyProtection="1">
      <alignment horizontal="left" vertical="top" wrapText="1"/>
      <protection locked="0"/>
    </xf>
    <xf numFmtId="0" fontId="31" fillId="9" borderId="0" xfId="0" applyFont="1" applyFill="1" applyBorder="1" applyAlignment="1">
      <alignment horizontal="right"/>
    </xf>
    <xf numFmtId="0" fontId="41" fillId="20" borderId="3" xfId="0" applyFont="1" applyFill="1" applyBorder="1" applyAlignment="1">
      <alignment horizontal="center" vertical="center"/>
    </xf>
    <xf numFmtId="0" fontId="41" fillId="20" borderId="4" xfId="0" applyFont="1" applyFill="1" applyBorder="1" applyAlignment="1">
      <alignment horizontal="center" vertical="center"/>
    </xf>
    <xf numFmtId="0" fontId="41" fillId="20" borderId="5" xfId="0" applyFont="1" applyFill="1" applyBorder="1" applyAlignment="1">
      <alignment horizontal="center" vertical="center"/>
    </xf>
    <xf numFmtId="0" fontId="41" fillId="20" borderId="6" xfId="0" applyFont="1" applyFill="1" applyBorder="1" applyAlignment="1">
      <alignment horizontal="center" vertical="center"/>
    </xf>
    <xf numFmtId="0" fontId="41" fillId="20" borderId="0" xfId="0" applyFont="1" applyFill="1" applyBorder="1" applyAlignment="1">
      <alignment horizontal="center" vertical="center"/>
    </xf>
    <xf numFmtId="0" fontId="41" fillId="20" borderId="7" xfId="0" applyFont="1" applyFill="1" applyBorder="1" applyAlignment="1">
      <alignment horizontal="center" vertical="center"/>
    </xf>
    <xf numFmtId="0" fontId="45" fillId="6" borderId="17" xfId="0" applyFont="1" applyFill="1" applyBorder="1" applyAlignment="1">
      <alignment horizontal="left"/>
    </xf>
    <xf numFmtId="0" fontId="29" fillId="6" borderId="17" xfId="0" applyFont="1" applyFill="1" applyBorder="1" applyAlignment="1">
      <alignment horizontal="left"/>
    </xf>
  </cellXfs>
  <cellStyles count="5">
    <cellStyle name="Comma" xfId="4" builtinId="3"/>
    <cellStyle name="Good" xfId="3" builtinId="26"/>
    <cellStyle name="Hyperlink" xfId="2" builtinId="8"/>
    <cellStyle name="Normal" xfId="0" builtinId="0"/>
    <cellStyle name="Normal 3" xfId="1" xr:uid="{00000000-0005-0000-0000-000004000000}"/>
  </cellStyles>
  <dxfs count="88"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ill>
        <patternFill>
          <bgColor rgb="FFD7F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5050"/>
      <color rgb="FF265856"/>
      <color rgb="FFD7F0F0"/>
      <color rgb="FF186664"/>
      <color rgb="FFD9EFEE"/>
      <color rgb="FFA7D9D7"/>
      <color rgb="FF007E66"/>
      <color rgb="FF057973"/>
      <color rgb="FF275745"/>
      <color rgb="FF446A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480060</xdr:colOff>
      <xdr:row>2</xdr:row>
      <xdr:rowOff>137160</xdr:rowOff>
    </xdr:from>
    <xdr:to>
      <xdr:col>9</xdr:col>
      <xdr:colOff>122742</xdr:colOff>
      <xdr:row>5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4720" y="556260"/>
          <a:ext cx="1585782" cy="586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1038225</xdr:colOff>
          <xdr:row>3</xdr:row>
          <xdr:rowOff>38100</xdr:rowOff>
        </xdr:from>
        <xdr:to>
          <xdr:col>17</xdr:col>
          <xdr:colOff>476250</xdr:colOff>
          <xdr:row>4</xdr:row>
          <xdr:rowOff>152400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E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714375</xdr:colOff>
          <xdr:row>26</xdr:row>
          <xdr:rowOff>66675</xdr:rowOff>
        </xdr:from>
        <xdr:to>
          <xdr:col>11</xdr:col>
          <xdr:colOff>209550</xdr:colOff>
          <xdr:row>28</xdr:row>
          <xdr:rowOff>85725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E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26</xdr:row>
          <xdr:rowOff>66675</xdr:rowOff>
        </xdr:from>
        <xdr:to>
          <xdr:col>7</xdr:col>
          <xdr:colOff>361950</xdr:colOff>
          <xdr:row>28</xdr:row>
          <xdr:rowOff>85725</xdr:rowOff>
        </xdr:to>
        <xdr:sp macro="" textlink="">
          <xdr:nvSpPr>
            <xdr:cNvPr id="2058" name="CommandButton3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E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259080</xdr:colOff>
      <xdr:row>132</xdr:row>
      <xdr:rowOff>99060</xdr:rowOff>
    </xdr:from>
    <xdr:to>
      <xdr:col>11</xdr:col>
      <xdr:colOff>274320</xdr:colOff>
      <xdr:row>134</xdr:row>
      <xdr:rowOff>76200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196840" y="26068020"/>
          <a:ext cx="101346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en-CA" sz="18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CA" sz="18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n-CA" sz="1100"/>
        </a:p>
      </xdr:txBody>
    </xdr:sp>
    <xdr:clientData/>
  </xdr:twoCellAnchor>
  <xdr:twoCellAnchor>
    <xdr:from>
      <xdr:col>10</xdr:col>
      <xdr:colOff>7620</xdr:colOff>
      <xdr:row>157</xdr:row>
      <xdr:rowOff>91440</xdr:rowOff>
    </xdr:from>
    <xdr:to>
      <xdr:col>11</xdr:col>
      <xdr:colOff>411480</xdr:colOff>
      <xdr:row>159</xdr:row>
      <xdr:rowOff>68580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5334000" y="31074360"/>
          <a:ext cx="101346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en-CA" sz="18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endParaRPr lang="en-CA" sz="1800"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</xdr:row>
          <xdr:rowOff>47625</xdr:rowOff>
        </xdr:from>
        <xdr:to>
          <xdr:col>4</xdr:col>
          <xdr:colOff>171450</xdr:colOff>
          <xdr:row>6</xdr:row>
          <xdr:rowOff>142875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62</xdr:row>
          <xdr:rowOff>19050</xdr:rowOff>
        </xdr:from>
        <xdr:to>
          <xdr:col>13</xdr:col>
          <xdr:colOff>352425</xdr:colOff>
          <xdr:row>63</xdr:row>
          <xdr:rowOff>209550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62</xdr:row>
          <xdr:rowOff>19050</xdr:rowOff>
        </xdr:from>
        <xdr:to>
          <xdr:col>11</xdr:col>
          <xdr:colOff>247650</xdr:colOff>
          <xdr:row>63</xdr:row>
          <xdr:rowOff>209550</xdr:rowOff>
        </xdr:to>
        <xdr:sp macro="" textlink="">
          <xdr:nvSpPr>
            <xdr:cNvPr id="17411" name="CommandButton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lant" displayName="Plant" ref="A1:C496" totalsRowShown="0" headerRowDxfId="87" dataDxfId="86" tableBorderDxfId="85">
  <autoFilter ref="A1:C496" xr:uid="{00000000-0009-0000-0100-000002000000}"/>
  <tableColumns count="3">
    <tableColumn id="1" xr3:uid="{00000000-0010-0000-0000-000001000000}" name="Plant Number" dataDxfId="84"/>
    <tableColumn id="2" xr3:uid="{00000000-0010-0000-0000-000002000000}" name="Plant Name" dataDxfId="83"/>
    <tableColumn id="3" xr3:uid="{00000000-0010-0000-0000-000003000000}" name="Combine Plant Name" dataDxfId="8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M_group" displayName="M_group" ref="A1:C265" totalsRowShown="0" headerRowDxfId="81" dataDxfId="80" tableBorderDxfId="79" headerRowCellStyle="Normal 3" dataCellStyle="Normal 3">
  <autoFilter ref="A1:C265" xr:uid="{00000000-0009-0000-0100-00000C000000}"/>
  <tableColumns count="3">
    <tableColumn id="1" xr3:uid="{00000000-0010-0000-0100-000001000000}" name="ID Material Group" dataDxfId="78" dataCellStyle="Normal 3"/>
    <tableColumn id="2" xr3:uid="{00000000-0010-0000-0100-000002000000}" name="Material group Name" dataDxfId="77" dataCellStyle="Normal 3"/>
    <tableColumn id="3" xr3:uid="{00000000-0010-0000-0100-000003000000}" name="Comb Material Group Name" dataDxfId="76" dataCellStyle="Normal 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MRP_Profile_2" displayName="MRP_Profile_2" ref="A1:C22" totalsRowShown="0" headerRowDxfId="75" dataDxfId="74" tableBorderDxfId="73">
  <autoFilter ref="A1:C22" xr:uid="{00000000-0009-0000-0100-00000D000000}"/>
  <tableColumns count="3">
    <tableColumn id="1" xr3:uid="{00000000-0010-0000-0200-000001000000}" name="ID MRP Profile" dataDxfId="72"/>
    <tableColumn id="2" xr3:uid="{00000000-0010-0000-0200-000002000000}" name="Name MRP Profile" dataDxfId="71"/>
    <tableColumn id="3" xr3:uid="{00000000-0010-0000-0200-000003000000}" name="Comb MRP Profile Name" dataDxfId="7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3000000}" name="MRP_Type_2" displayName="MRP_Type_2" ref="A1:C17" totalsRowShown="0" headerRowDxfId="69" dataDxfId="68" tableBorderDxfId="67">
  <autoFilter ref="A1:C17" xr:uid="{00000000-0009-0000-0100-00000F000000}"/>
  <tableColumns count="3">
    <tableColumn id="1" xr3:uid="{00000000-0010-0000-0300-000001000000}" name="ID MRP Type" dataDxfId="66"/>
    <tableColumn id="2" xr3:uid="{00000000-0010-0000-0300-000002000000}" name="MRP Type Name" dataDxfId="65"/>
    <tableColumn id="3" xr3:uid="{00000000-0010-0000-0300-000003000000}" name="Comb MRP Type Name" dataDxfId="6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4000000}" name="Valuation_Class_2" displayName="Valuation_Class_2" ref="A1:C8" totalsRowShown="0" headerRowDxfId="63" dataDxfId="62" tableBorderDxfId="61">
  <autoFilter ref="A1:C8" xr:uid="{00000000-0009-0000-0100-000010000000}"/>
  <tableColumns count="3">
    <tableColumn id="1" xr3:uid="{00000000-0010-0000-0400-000001000000}" name="ID Val Class" dataDxfId="60"/>
    <tableColumn id="2" xr3:uid="{00000000-0010-0000-0400-000002000000}" name="Valuation Class Name" dataDxfId="59"/>
    <tableColumn id="3" xr3:uid="{00000000-0010-0000-0400-000003000000}" name="Comb Valuation Class Name" dataDxfId="5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5000000}" name="Material_Class_2" displayName="Material_Class_2" ref="A1:C46" totalsRowShown="0" headerRowDxfId="57" dataDxfId="56" tableBorderDxfId="55">
  <autoFilter ref="A1:C46" xr:uid="{00000000-0009-0000-0100-000011000000}"/>
  <tableColumns count="3">
    <tableColumn id="1" xr3:uid="{00000000-0010-0000-0500-000001000000}" name="ID Material Class" dataDxfId="54"/>
    <tableColumn id="2" xr3:uid="{00000000-0010-0000-0500-000002000000}" name="Material Class Name" dataDxfId="53"/>
    <tableColumn id="3" xr3:uid="{00000000-0010-0000-0500-000003000000}" name="Comb Material Class Name" dataDxfId="5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6000000}" name="Purchasing_Group" displayName="Purchasing_Group" ref="A1:C25" totalsRowShown="0" headerRowDxfId="51" dataDxfId="50" tableBorderDxfId="49">
  <autoFilter ref="A1:C25" xr:uid="{00000000-0009-0000-0100-000012000000}"/>
  <tableColumns count="3">
    <tableColumn id="1" xr3:uid="{00000000-0010-0000-0600-000001000000}" name="ID Purch Group" dataDxfId="48"/>
    <tableColumn id="2" xr3:uid="{00000000-0010-0000-0600-000002000000}" name="Purchasing Group Name" dataDxfId="47"/>
    <tableColumn id="3" xr3:uid="{00000000-0010-0000-0600-000003000000}" name="Comb Purchasing Group Name" dataDxfId="46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7000000}" name="MRP_Group_2" displayName="MRP_Group_2" ref="A1:C6" totalsRowShown="0" headerRowDxfId="45" dataDxfId="44" tableBorderDxfId="43">
  <autoFilter ref="A1:C6" xr:uid="{00000000-0009-0000-0100-000013000000}"/>
  <tableColumns count="3">
    <tableColumn id="1" xr3:uid="{00000000-0010-0000-0700-000001000000}" name="key_mrp_group" dataDxfId="42"/>
    <tableColumn id="2" xr3:uid="{00000000-0010-0000-0700-000002000000}" name="name_mrp_group" dataDxfId="41"/>
    <tableColumn id="3" xr3:uid="{00000000-0010-0000-0700-000003000000}" name="MRP Group" dataDxfId="4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8000000}" name="Storage_Location" displayName="Storage_Location" ref="A1:C24" totalsRowShown="0" headerRowDxfId="39" dataDxfId="38" tableBorderDxfId="37">
  <autoFilter ref="A1:C24" xr:uid="{00000000-0009-0000-0100-000014000000}"/>
  <tableColumns count="3">
    <tableColumn id="1" xr3:uid="{00000000-0010-0000-0800-000001000000}" name="ID Storage Location" dataDxfId="36"/>
    <tableColumn id="2" xr3:uid="{00000000-0010-0000-0800-000002000000}" name="Storage Location Name" dataDxfId="35"/>
    <tableColumn id="3" xr3:uid="{00000000-0010-0000-0800-000003000000}" name="Concat Storage Location Name" dataDxfId="34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9000000}" name="Base_UoM_2" displayName="Base_UoM_2" ref="A1:C298" totalsRowShown="0" headerRowDxfId="33" dataDxfId="32" tableBorderDxfId="31">
  <autoFilter ref="A1:C298" xr:uid="{00000000-0009-0000-0100-000015000000}"/>
  <tableColumns count="3">
    <tableColumn id="1" xr3:uid="{00000000-0010-0000-0900-000001000000}" name="ID UoM" dataDxfId="30"/>
    <tableColumn id="2" xr3:uid="{00000000-0010-0000-0900-000002000000}" name="Base UoM Name" dataDxfId="29"/>
    <tableColumn id="3" xr3:uid="{00000000-0010-0000-0900-000003000000}" name="CountBaseUnitofMeasure" dataDxfId="28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A000000}" name="Material_Type" displayName="Material_Type" ref="A1:A9" totalsRowShown="0" headerRowDxfId="27" headerRowCellStyle="Normal 3">
  <autoFilter ref="A1:A9" xr:uid="{00000000-0009-0000-0100-000016000000}"/>
  <tableColumns count="1">
    <tableColumn id="1" xr3:uid="{00000000-0010-0000-0A00-000001000000}" name="Material Type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B000000}" name="Province" displayName="Province" ref="A1:F25" totalsRowShown="0">
  <autoFilter ref="A1:F25" xr:uid="{00000000-0009-0000-0100-000001000000}"/>
  <tableColumns count="6">
    <tableColumn id="5" xr3:uid="{00000000-0010-0000-0B00-000005000000}" name="Country"/>
    <tableColumn id="1" xr3:uid="{00000000-0010-0000-0B00-000001000000}" name="Name" dataDxfId="26"/>
    <tableColumn id="2" xr3:uid="{00000000-0010-0000-0B00-000002000000}" name="Abbr"/>
    <tableColumn id="3" xr3:uid="{00000000-0010-0000-0B00-000003000000}" name="ST"/>
    <tableColumn id="4" xr3:uid="{00000000-0010-0000-0B00-000004000000}" name="CIE"/>
    <tableColumn id="6" xr3:uid="{00000000-0010-0000-0B00-000006000000}" name="ProvCode" dataDxfId="25">
      <calculatedColumnFormula>Province[[#This Row],[Country]]&amp;"|"&amp;Province[[#This Row],[CIE]]&amp;" - " &amp;Province[[#This Row],[Abbr]] &amp;"|"&amp;Province[[#This Row],[ST]]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C000000}" name="Cantry" displayName="Cantry" ref="H6:H8" totalsRowShown="0" dataDxfId="24">
  <autoFilter ref="H6:H8" xr:uid="{00000000-0009-0000-0100-000005000000}"/>
  <tableColumns count="1">
    <tableColumn id="1" xr3:uid="{00000000-0010-0000-0C00-000001000000}" name="Cantry" dataDxfId="23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State" displayName="State" ref="L1:P16" totalsRowShown="0" headerRowDxfId="22" dataDxfId="21" tableBorderDxfId="20">
  <autoFilter ref="L1:P16" xr:uid="{00000000-0009-0000-0100-000006000000}"/>
  <sortState xmlns:xlrd2="http://schemas.microsoft.com/office/spreadsheetml/2017/richdata2" ref="L2:P16">
    <sortCondition ref="M1:M16"/>
  </sortState>
  <tableColumns count="5">
    <tableColumn id="1" xr3:uid="{00000000-0010-0000-0D00-000001000000}" name="Country" dataDxfId="19"/>
    <tableColumn id="2" xr3:uid="{00000000-0010-0000-0D00-000002000000}" name="Name" dataDxfId="18"/>
    <tableColumn id="3" xr3:uid="{00000000-0010-0000-0D00-000003000000}" name="Abbr" dataDxfId="17"/>
    <tableColumn id="4" xr3:uid="{00000000-0010-0000-0D00-000004000000}" name="ST" dataDxfId="16"/>
    <tableColumn id="5" xr3:uid="{00000000-0010-0000-0D00-000005000000}" name="CIE" dataDxfId="15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E000000}" name="LocationCode" displayName="LocationCode" ref="H10:I18" totalsRowShown="0">
  <autoFilter ref="H10:I18" xr:uid="{00000000-0009-0000-0100-000004000000}"/>
  <tableColumns count="2">
    <tableColumn id="1" xr3:uid="{00000000-0010-0000-0E00-000001000000}" name="Location Code"/>
    <tableColumn id="2" xr3:uid="{00000000-0010-0000-0E00-000002000000}" name="Column1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PlantRequest" displayName="PlantRequest" ref="A1:Q2" totalsRowShown="0">
  <autoFilter ref="A1:Q2" xr:uid="{00000000-0009-0000-0100-000003000000}"/>
  <tableColumns count="17">
    <tableColumn id="1" xr3:uid="{00000000-0010-0000-0F00-000001000000}" name="Type of Materials"/>
    <tableColumn id="2" xr3:uid="{00000000-0010-0000-0F00-000002000000}" name="Country "/>
    <tableColumn id="3" xr3:uid="{00000000-0010-0000-0F00-000003000000}" name="Province "/>
    <tableColumn id="4" xr3:uid="{00000000-0010-0000-0F00-000004000000}" name="Region Number"/>
    <tableColumn id="5" xr3:uid="{00000000-0010-0000-0F00-000005000000}" name="City"/>
    <tableColumn id="6" xr3:uid="{00000000-0010-0000-0F00-000006000000}" name="Postal code"/>
    <tableColumn id="7" xr3:uid="{00000000-0010-0000-0F00-000007000000}" name="Plant Address"/>
    <tableColumn id="8" xr3:uid="{00000000-0010-0000-0F00-000008000000}" name="Contact Name"/>
    <tableColumn id="9" xr3:uid="{00000000-0010-0000-0F00-000009000000}" name="Department"/>
    <tableColumn id="10" xr3:uid="{00000000-0010-0000-0F00-00000A000000}" name="Phone number"/>
    <tableColumn id="11" xr3:uid="{00000000-0010-0000-0F00-00000B000000}" name="email"/>
    <tableColumn id="12" xr3:uid="{00000000-0010-0000-0F00-00000C000000}" name="Type of materials2"/>
    <tableColumn id="13" xr3:uid="{00000000-0010-0000-0F00-00000D000000}" name="PN Reference"/>
    <tableColumn id="14" xr3:uid="{00000000-0010-0000-0F00-00000E000000}" name="Plunht Number"/>
    <tableColumn id="15" xr3:uid="{00000000-0010-0000-0F00-00000F000000}" name="Plunt Name"/>
    <tableColumn id="16" xr3:uid="{00000000-0010-0000-0F00-000010000000}" name="SLocation Number"/>
    <tableColumn id="17" xr3:uid="{00000000-0010-0000-0F00-000011000000}" name="SL Nam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://team.cn.ca/sites/ops/sm/Lists/MD_Plants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96"/>
  <sheetViews>
    <sheetView workbookViewId="0">
      <selection activeCell="E15" sqref="E15:L15"/>
    </sheetView>
  </sheetViews>
  <sheetFormatPr defaultRowHeight="15"/>
  <cols>
    <col min="1" max="1" width="14.85546875" bestFit="1" customWidth="1"/>
    <col min="2" max="2" width="27.7109375" bestFit="1" customWidth="1"/>
    <col min="3" max="3" width="37.5703125" bestFit="1" customWidth="1"/>
    <col min="6" max="6" width="16.140625" customWidth="1"/>
    <col min="7" max="7" width="53.28515625" bestFit="1" customWidth="1"/>
  </cols>
  <sheetData>
    <row r="1" spans="1:7">
      <c r="A1" s="8" t="s">
        <v>3070</v>
      </c>
      <c r="B1" s="8" t="s">
        <v>1682</v>
      </c>
      <c r="C1" s="8" t="s">
        <v>3073</v>
      </c>
    </row>
    <row r="2" spans="1:7">
      <c r="A2" s="5">
        <v>1000</v>
      </c>
      <c r="B2" s="5" t="s">
        <v>2597</v>
      </c>
      <c r="C2" s="5" t="s">
        <v>22</v>
      </c>
    </row>
    <row r="3" spans="1:7">
      <c r="A3" s="5">
        <v>1001</v>
      </c>
      <c r="B3" s="5" t="s">
        <v>2598</v>
      </c>
      <c r="C3" s="5" t="s">
        <v>23</v>
      </c>
      <c r="F3" s="3" t="s">
        <v>2595</v>
      </c>
      <c r="G3" s="3"/>
    </row>
    <row r="4" spans="1:7">
      <c r="A4" s="5">
        <v>1005</v>
      </c>
      <c r="B4" s="5" t="s">
        <v>2599</v>
      </c>
      <c r="C4" s="5" t="s">
        <v>24</v>
      </c>
      <c r="F4" s="3" t="s">
        <v>3071</v>
      </c>
      <c r="G4" s="3" t="s">
        <v>3111</v>
      </c>
    </row>
    <row r="5" spans="1:7">
      <c r="A5" s="5">
        <v>1010</v>
      </c>
      <c r="B5" s="5" t="s">
        <v>2600</v>
      </c>
      <c r="C5" s="5" t="s">
        <v>25</v>
      </c>
      <c r="F5" s="3" t="s">
        <v>3072</v>
      </c>
      <c r="G5" s="4" t="s">
        <v>2596</v>
      </c>
    </row>
    <row r="6" spans="1:7">
      <c r="A6" s="5">
        <v>1020</v>
      </c>
      <c r="B6" s="5" t="s">
        <v>2601</v>
      </c>
      <c r="C6" s="5" t="s">
        <v>26</v>
      </c>
      <c r="F6" s="6" t="s">
        <v>3075</v>
      </c>
      <c r="G6" s="3" t="s">
        <v>3074</v>
      </c>
    </row>
    <row r="7" spans="1:7">
      <c r="A7" s="5">
        <v>1021</v>
      </c>
      <c r="B7" s="5" t="s">
        <v>2602</v>
      </c>
      <c r="C7" s="5" t="s">
        <v>27</v>
      </c>
    </row>
    <row r="8" spans="1:7">
      <c r="A8" s="5">
        <v>1025</v>
      </c>
      <c r="B8" s="5" t="s">
        <v>2603</v>
      </c>
      <c r="C8" s="5" t="s">
        <v>28</v>
      </c>
    </row>
    <row r="9" spans="1:7">
      <c r="A9" s="5">
        <v>1030</v>
      </c>
      <c r="B9" s="5" t="s">
        <v>2604</v>
      </c>
      <c r="C9" s="5" t="s">
        <v>29</v>
      </c>
    </row>
    <row r="10" spans="1:7">
      <c r="A10" s="5">
        <v>1040</v>
      </c>
      <c r="B10" s="5" t="s">
        <v>2605</v>
      </c>
      <c r="C10" s="5" t="s">
        <v>30</v>
      </c>
    </row>
    <row r="11" spans="1:7">
      <c r="A11" s="5">
        <v>1041</v>
      </c>
      <c r="B11" s="5" t="s">
        <v>2606</v>
      </c>
      <c r="C11" s="5" t="s">
        <v>31</v>
      </c>
    </row>
    <row r="12" spans="1:7">
      <c r="A12" s="5">
        <v>1050</v>
      </c>
      <c r="B12" s="5" t="s">
        <v>2607</v>
      </c>
      <c r="C12" s="5" t="s">
        <v>32</v>
      </c>
    </row>
    <row r="13" spans="1:7">
      <c r="A13" s="5">
        <v>1051</v>
      </c>
      <c r="B13" s="5" t="s">
        <v>2608</v>
      </c>
      <c r="C13" s="5" t="s">
        <v>33</v>
      </c>
    </row>
    <row r="14" spans="1:7">
      <c r="A14" s="5">
        <v>1052</v>
      </c>
      <c r="B14" s="5" t="s">
        <v>2609</v>
      </c>
      <c r="C14" s="5" t="s">
        <v>34</v>
      </c>
    </row>
    <row r="15" spans="1:7">
      <c r="A15" s="5">
        <v>1053</v>
      </c>
      <c r="B15" s="5" t="s">
        <v>2610</v>
      </c>
      <c r="C15" s="5" t="s">
        <v>35</v>
      </c>
    </row>
    <row r="16" spans="1:7">
      <c r="A16" s="5">
        <v>1054</v>
      </c>
      <c r="B16" s="5" t="s">
        <v>2611</v>
      </c>
      <c r="C16" s="5" t="s">
        <v>36</v>
      </c>
    </row>
    <row r="17" spans="1:3">
      <c r="A17" s="5">
        <v>1055</v>
      </c>
      <c r="B17" s="5" t="s">
        <v>2612</v>
      </c>
      <c r="C17" s="5" t="s">
        <v>37</v>
      </c>
    </row>
    <row r="18" spans="1:3">
      <c r="A18" s="5">
        <v>1056</v>
      </c>
      <c r="B18" s="5" t="s">
        <v>2613</v>
      </c>
      <c r="C18" s="5" t="s">
        <v>38</v>
      </c>
    </row>
    <row r="19" spans="1:3">
      <c r="A19" s="5">
        <v>1057</v>
      </c>
      <c r="B19" s="5" t="s">
        <v>2614</v>
      </c>
      <c r="C19" s="5" t="s">
        <v>39</v>
      </c>
    </row>
    <row r="20" spans="1:3">
      <c r="A20" s="5">
        <v>1058</v>
      </c>
      <c r="B20" s="5" t="s">
        <v>2615</v>
      </c>
      <c r="C20" s="5" t="s">
        <v>40</v>
      </c>
    </row>
    <row r="21" spans="1:3">
      <c r="A21" s="5">
        <v>1059</v>
      </c>
      <c r="B21" s="5" t="s">
        <v>2616</v>
      </c>
      <c r="C21" s="5" t="s">
        <v>41</v>
      </c>
    </row>
    <row r="22" spans="1:3">
      <c r="A22" s="5">
        <v>1060</v>
      </c>
      <c r="B22" s="5" t="s">
        <v>2617</v>
      </c>
      <c r="C22" s="5" t="s">
        <v>42</v>
      </c>
    </row>
    <row r="23" spans="1:3">
      <c r="A23" s="5">
        <v>1061</v>
      </c>
      <c r="B23" s="5" t="s">
        <v>2618</v>
      </c>
      <c r="C23" s="5" t="s">
        <v>43</v>
      </c>
    </row>
    <row r="24" spans="1:3">
      <c r="A24" s="5">
        <v>1062</v>
      </c>
      <c r="B24" s="5" t="s">
        <v>2619</v>
      </c>
      <c r="C24" s="5" t="s">
        <v>44</v>
      </c>
    </row>
    <row r="25" spans="1:3">
      <c r="A25" s="5">
        <v>1063</v>
      </c>
      <c r="B25" s="5" t="s">
        <v>2620</v>
      </c>
      <c r="C25" s="5" t="s">
        <v>45</v>
      </c>
    </row>
    <row r="26" spans="1:3">
      <c r="A26" s="5">
        <v>1064</v>
      </c>
      <c r="B26" s="5" t="s">
        <v>2621</v>
      </c>
      <c r="C26" s="5" t="s">
        <v>46</v>
      </c>
    </row>
    <row r="27" spans="1:3">
      <c r="A27" s="5">
        <v>1065</v>
      </c>
      <c r="B27" s="5" t="s">
        <v>2622</v>
      </c>
      <c r="C27" s="5" t="s">
        <v>47</v>
      </c>
    </row>
    <row r="28" spans="1:3">
      <c r="A28" s="5">
        <v>1066</v>
      </c>
      <c r="B28" s="5" t="s">
        <v>2623</v>
      </c>
      <c r="C28" s="5" t="s">
        <v>48</v>
      </c>
    </row>
    <row r="29" spans="1:3">
      <c r="A29" s="5">
        <v>1070</v>
      </c>
      <c r="B29" s="5" t="s">
        <v>2624</v>
      </c>
      <c r="C29" s="5" t="s">
        <v>49</v>
      </c>
    </row>
    <row r="30" spans="1:3">
      <c r="A30" s="5">
        <v>1071</v>
      </c>
      <c r="B30" s="5" t="s">
        <v>2625</v>
      </c>
      <c r="C30" s="5" t="s">
        <v>50</v>
      </c>
    </row>
    <row r="31" spans="1:3">
      <c r="A31" s="5">
        <v>1072</v>
      </c>
      <c r="B31" s="5" t="s">
        <v>2626</v>
      </c>
      <c r="C31" s="5" t="s">
        <v>51</v>
      </c>
    </row>
    <row r="32" spans="1:3">
      <c r="A32" s="5">
        <v>1073</v>
      </c>
      <c r="B32" s="5" t="s">
        <v>2627</v>
      </c>
      <c r="C32" s="5" t="s">
        <v>52</v>
      </c>
    </row>
    <row r="33" spans="1:3">
      <c r="A33" s="5">
        <v>1074</v>
      </c>
      <c r="B33" s="5" t="s">
        <v>2628</v>
      </c>
      <c r="C33" s="5" t="s">
        <v>53</v>
      </c>
    </row>
    <row r="34" spans="1:3">
      <c r="A34" s="5">
        <v>1075</v>
      </c>
      <c r="B34" s="5" t="s">
        <v>2629</v>
      </c>
      <c r="C34" s="5" t="s">
        <v>54</v>
      </c>
    </row>
    <row r="35" spans="1:3">
      <c r="A35" s="5">
        <v>1076</v>
      </c>
      <c r="B35" s="5" t="s">
        <v>2630</v>
      </c>
      <c r="C35" s="5" t="s">
        <v>55</v>
      </c>
    </row>
    <row r="36" spans="1:3">
      <c r="A36" s="5">
        <v>1077</v>
      </c>
      <c r="B36" s="5" t="s">
        <v>2631</v>
      </c>
      <c r="C36" s="5" t="s">
        <v>56</v>
      </c>
    </row>
    <row r="37" spans="1:3">
      <c r="A37" s="5">
        <v>1080</v>
      </c>
      <c r="B37" s="5" t="s">
        <v>2632</v>
      </c>
      <c r="C37" s="5" t="s">
        <v>57</v>
      </c>
    </row>
    <row r="38" spans="1:3">
      <c r="A38" s="5">
        <v>1081</v>
      </c>
      <c r="B38" s="5" t="s">
        <v>2633</v>
      </c>
      <c r="C38" s="5" t="s">
        <v>58</v>
      </c>
    </row>
    <row r="39" spans="1:3">
      <c r="A39" s="5">
        <v>1082</v>
      </c>
      <c r="B39" s="5" t="s">
        <v>2634</v>
      </c>
      <c r="C39" s="5" t="s">
        <v>59</v>
      </c>
    </row>
    <row r="40" spans="1:3">
      <c r="A40" s="5">
        <v>1083</v>
      </c>
      <c r="B40" s="5" t="s">
        <v>2635</v>
      </c>
      <c r="C40" s="5" t="s">
        <v>60</v>
      </c>
    </row>
    <row r="41" spans="1:3">
      <c r="A41" s="5">
        <v>1084</v>
      </c>
      <c r="B41" s="5" t="s">
        <v>2636</v>
      </c>
      <c r="C41" s="5" t="s">
        <v>61</v>
      </c>
    </row>
    <row r="42" spans="1:3">
      <c r="A42" s="5">
        <v>1085</v>
      </c>
      <c r="B42" s="5" t="s">
        <v>2637</v>
      </c>
      <c r="C42" s="5" t="s">
        <v>62</v>
      </c>
    </row>
    <row r="43" spans="1:3">
      <c r="A43" s="5">
        <v>1087</v>
      </c>
      <c r="B43" s="5" t="s">
        <v>2638</v>
      </c>
      <c r="C43" s="5" t="s">
        <v>63</v>
      </c>
    </row>
    <row r="44" spans="1:3">
      <c r="A44" s="5">
        <v>1088</v>
      </c>
      <c r="B44" s="5" t="s">
        <v>2639</v>
      </c>
      <c r="C44" s="5" t="s">
        <v>64</v>
      </c>
    </row>
    <row r="45" spans="1:3">
      <c r="A45" s="5">
        <v>1089</v>
      </c>
      <c r="B45" s="5" t="s">
        <v>2640</v>
      </c>
      <c r="C45" s="5" t="s">
        <v>65</v>
      </c>
    </row>
    <row r="46" spans="1:3">
      <c r="A46" s="5">
        <v>1090</v>
      </c>
      <c r="B46" s="5" t="s">
        <v>2641</v>
      </c>
      <c r="C46" s="5" t="s">
        <v>66</v>
      </c>
    </row>
    <row r="47" spans="1:3">
      <c r="A47" s="5">
        <v>1096</v>
      </c>
      <c r="B47" s="5" t="s">
        <v>2642</v>
      </c>
      <c r="C47" s="5" t="s">
        <v>67</v>
      </c>
    </row>
    <row r="48" spans="1:3">
      <c r="A48" s="5">
        <v>1099</v>
      </c>
      <c r="B48" s="5" t="s">
        <v>2643</v>
      </c>
      <c r="C48" s="5" t="s">
        <v>68</v>
      </c>
    </row>
    <row r="49" spans="1:3">
      <c r="A49" s="5">
        <v>1100</v>
      </c>
      <c r="B49" s="5" t="s">
        <v>2644</v>
      </c>
      <c r="C49" s="5" t="s">
        <v>69</v>
      </c>
    </row>
    <row r="50" spans="1:3">
      <c r="A50" s="5">
        <v>1105</v>
      </c>
      <c r="B50" s="5" t="s">
        <v>2645</v>
      </c>
      <c r="C50" s="5" t="s">
        <v>70</v>
      </c>
    </row>
    <row r="51" spans="1:3">
      <c r="A51" s="5">
        <v>1106</v>
      </c>
      <c r="B51" s="5" t="s">
        <v>2646</v>
      </c>
      <c r="C51" s="5" t="s">
        <v>71</v>
      </c>
    </row>
    <row r="52" spans="1:3">
      <c r="A52" s="5">
        <v>1110</v>
      </c>
      <c r="B52" s="5" t="s">
        <v>2647</v>
      </c>
      <c r="C52" s="5" t="s">
        <v>72</v>
      </c>
    </row>
    <row r="53" spans="1:3">
      <c r="A53" s="5">
        <v>1115</v>
      </c>
      <c r="B53" s="5" t="s">
        <v>2648</v>
      </c>
      <c r="C53" s="5" t="s">
        <v>73</v>
      </c>
    </row>
    <row r="54" spans="1:3">
      <c r="A54" s="5">
        <v>1140</v>
      </c>
      <c r="B54" s="5" t="s">
        <v>2649</v>
      </c>
      <c r="C54" s="5" t="s">
        <v>74</v>
      </c>
    </row>
    <row r="55" spans="1:3">
      <c r="A55" s="5">
        <v>1141</v>
      </c>
      <c r="B55" s="5" t="s">
        <v>2650</v>
      </c>
      <c r="C55" s="5" t="s">
        <v>75</v>
      </c>
    </row>
    <row r="56" spans="1:3">
      <c r="A56" s="5">
        <v>1142</v>
      </c>
      <c r="B56" s="5" t="s">
        <v>2651</v>
      </c>
      <c r="C56" s="5" t="s">
        <v>76</v>
      </c>
    </row>
    <row r="57" spans="1:3">
      <c r="A57" s="5">
        <v>1150</v>
      </c>
      <c r="B57" s="5" t="s">
        <v>2652</v>
      </c>
      <c r="C57" s="5" t="s">
        <v>77</v>
      </c>
    </row>
    <row r="58" spans="1:3">
      <c r="A58" s="5">
        <v>1151</v>
      </c>
      <c r="B58" s="5" t="s">
        <v>2653</v>
      </c>
      <c r="C58" s="5" t="s">
        <v>78</v>
      </c>
    </row>
    <row r="59" spans="1:3">
      <c r="A59" s="5">
        <v>1152</v>
      </c>
      <c r="B59" s="5" t="s">
        <v>2654</v>
      </c>
      <c r="C59" s="5" t="s">
        <v>79</v>
      </c>
    </row>
    <row r="60" spans="1:3">
      <c r="A60" s="5">
        <v>1153</v>
      </c>
      <c r="B60" s="5" t="s">
        <v>2655</v>
      </c>
      <c r="C60" s="5" t="s">
        <v>80</v>
      </c>
    </row>
    <row r="61" spans="1:3">
      <c r="A61" s="5">
        <v>1154</v>
      </c>
      <c r="B61" s="5" t="s">
        <v>2656</v>
      </c>
      <c r="C61" s="5" t="s">
        <v>81</v>
      </c>
    </row>
    <row r="62" spans="1:3">
      <c r="A62" s="5">
        <v>1155</v>
      </c>
      <c r="B62" s="5" t="s">
        <v>2657</v>
      </c>
      <c r="C62" s="5" t="s">
        <v>82</v>
      </c>
    </row>
    <row r="63" spans="1:3">
      <c r="A63" s="5">
        <v>1156</v>
      </c>
      <c r="B63" s="5" t="s">
        <v>2658</v>
      </c>
      <c r="C63" s="5" t="s">
        <v>83</v>
      </c>
    </row>
    <row r="64" spans="1:3">
      <c r="A64" s="5">
        <v>1157</v>
      </c>
      <c r="B64" s="5" t="s">
        <v>2659</v>
      </c>
      <c r="C64" s="5" t="s">
        <v>84</v>
      </c>
    </row>
    <row r="65" spans="1:3">
      <c r="A65" s="5">
        <v>1158</v>
      </c>
      <c r="B65" s="5" t="s">
        <v>2660</v>
      </c>
      <c r="C65" s="5" t="s">
        <v>85</v>
      </c>
    </row>
    <row r="66" spans="1:3">
      <c r="A66" s="5">
        <v>1159</v>
      </c>
      <c r="B66" s="5" t="s">
        <v>2661</v>
      </c>
      <c r="C66" s="5" t="s">
        <v>86</v>
      </c>
    </row>
    <row r="67" spans="1:3">
      <c r="A67" s="5">
        <v>1160</v>
      </c>
      <c r="B67" s="5" t="s">
        <v>2662</v>
      </c>
      <c r="C67" s="5" t="s">
        <v>87</v>
      </c>
    </row>
    <row r="68" spans="1:3">
      <c r="A68" s="5">
        <v>1161</v>
      </c>
      <c r="B68" s="5" t="s">
        <v>2663</v>
      </c>
      <c r="C68" s="5" t="s">
        <v>88</v>
      </c>
    </row>
    <row r="69" spans="1:3">
      <c r="A69" s="5">
        <v>1162</v>
      </c>
      <c r="B69" s="5" t="s">
        <v>2664</v>
      </c>
      <c r="C69" s="5" t="s">
        <v>89</v>
      </c>
    </row>
    <row r="70" spans="1:3">
      <c r="A70" s="5">
        <v>1163</v>
      </c>
      <c r="B70" s="5" t="s">
        <v>2665</v>
      </c>
      <c r="C70" s="5" t="s">
        <v>90</v>
      </c>
    </row>
    <row r="71" spans="1:3">
      <c r="A71" s="5">
        <v>1164</v>
      </c>
      <c r="B71" s="5" t="s">
        <v>2666</v>
      </c>
      <c r="C71" s="5" t="s">
        <v>91</v>
      </c>
    </row>
    <row r="72" spans="1:3">
      <c r="A72" s="5">
        <v>1165</v>
      </c>
      <c r="B72" s="5" t="s">
        <v>2667</v>
      </c>
      <c r="C72" s="5" t="s">
        <v>92</v>
      </c>
    </row>
    <row r="73" spans="1:3">
      <c r="A73" s="5">
        <v>1166</v>
      </c>
      <c r="B73" s="5" t="s">
        <v>2668</v>
      </c>
      <c r="C73" s="5" t="s">
        <v>93</v>
      </c>
    </row>
    <row r="74" spans="1:3">
      <c r="A74" s="5">
        <v>1167</v>
      </c>
      <c r="B74" s="5" t="s">
        <v>2669</v>
      </c>
      <c r="C74" s="5" t="s">
        <v>94</v>
      </c>
    </row>
    <row r="75" spans="1:3">
      <c r="A75" s="5">
        <v>1168</v>
      </c>
      <c r="B75" s="5" t="s">
        <v>2670</v>
      </c>
      <c r="C75" s="5" t="s">
        <v>95</v>
      </c>
    </row>
    <row r="76" spans="1:3">
      <c r="A76" s="5">
        <v>1170</v>
      </c>
      <c r="B76" s="5" t="s">
        <v>2671</v>
      </c>
      <c r="C76" s="5" t="s">
        <v>96</v>
      </c>
    </row>
    <row r="77" spans="1:3">
      <c r="A77" s="5">
        <v>1171</v>
      </c>
      <c r="B77" s="5" t="s">
        <v>2672</v>
      </c>
      <c r="C77" s="5" t="s">
        <v>97</v>
      </c>
    </row>
    <row r="78" spans="1:3">
      <c r="A78" s="5">
        <v>1172</v>
      </c>
      <c r="B78" s="5" t="s">
        <v>2673</v>
      </c>
      <c r="C78" s="5" t="s">
        <v>98</v>
      </c>
    </row>
    <row r="79" spans="1:3">
      <c r="A79" s="5">
        <v>1173</v>
      </c>
      <c r="B79" s="5" t="s">
        <v>2674</v>
      </c>
      <c r="C79" s="5" t="s">
        <v>99</v>
      </c>
    </row>
    <row r="80" spans="1:3">
      <c r="A80" s="5">
        <v>1174</v>
      </c>
      <c r="B80" s="5" t="s">
        <v>2675</v>
      </c>
      <c r="C80" s="5" t="s">
        <v>100</v>
      </c>
    </row>
    <row r="81" spans="1:3">
      <c r="A81" s="5">
        <v>1175</v>
      </c>
      <c r="B81" s="5" t="s">
        <v>2676</v>
      </c>
      <c r="C81" s="5" t="s">
        <v>101</v>
      </c>
    </row>
    <row r="82" spans="1:3">
      <c r="A82" s="5">
        <v>1176</v>
      </c>
      <c r="B82" s="5" t="s">
        <v>2677</v>
      </c>
      <c r="C82" s="5" t="s">
        <v>102</v>
      </c>
    </row>
    <row r="83" spans="1:3">
      <c r="A83" s="5">
        <v>1177</v>
      </c>
      <c r="B83" s="5" t="s">
        <v>1683</v>
      </c>
      <c r="C83" s="5" t="s">
        <v>103</v>
      </c>
    </row>
    <row r="84" spans="1:3">
      <c r="A84" s="5">
        <v>1181</v>
      </c>
      <c r="B84" s="5" t="s">
        <v>2678</v>
      </c>
      <c r="C84" s="5" t="s">
        <v>104</v>
      </c>
    </row>
    <row r="85" spans="1:3">
      <c r="A85" s="5">
        <v>1182</v>
      </c>
      <c r="B85" s="5" t="s">
        <v>2679</v>
      </c>
      <c r="C85" s="5" t="s">
        <v>105</v>
      </c>
    </row>
    <row r="86" spans="1:3">
      <c r="A86" s="5">
        <v>1183</v>
      </c>
      <c r="B86" s="5" t="s">
        <v>2680</v>
      </c>
      <c r="C86" s="5" t="s">
        <v>106</v>
      </c>
    </row>
    <row r="87" spans="1:3">
      <c r="A87" s="5">
        <v>1184</v>
      </c>
      <c r="B87" s="5" t="s">
        <v>2681</v>
      </c>
      <c r="C87" s="5" t="s">
        <v>107</v>
      </c>
    </row>
    <row r="88" spans="1:3">
      <c r="A88" s="5">
        <v>1185</v>
      </c>
      <c r="B88" s="5" t="s">
        <v>2682</v>
      </c>
      <c r="C88" s="5" t="s">
        <v>108</v>
      </c>
    </row>
    <row r="89" spans="1:3">
      <c r="A89" s="5">
        <v>1186</v>
      </c>
      <c r="B89" s="5" t="s">
        <v>2683</v>
      </c>
      <c r="C89" s="5" t="s">
        <v>109</v>
      </c>
    </row>
    <row r="90" spans="1:3">
      <c r="A90" s="5">
        <v>1187</v>
      </c>
      <c r="B90" s="5" t="s">
        <v>2684</v>
      </c>
      <c r="C90" s="5" t="s">
        <v>110</v>
      </c>
    </row>
    <row r="91" spans="1:3">
      <c r="A91" s="5">
        <v>1189</v>
      </c>
      <c r="B91" s="5" t="s">
        <v>2685</v>
      </c>
      <c r="C91" s="5" t="s">
        <v>111</v>
      </c>
    </row>
    <row r="92" spans="1:3">
      <c r="A92" s="5">
        <v>1190</v>
      </c>
      <c r="B92" s="5" t="s">
        <v>2686</v>
      </c>
      <c r="C92" s="5" t="s">
        <v>112</v>
      </c>
    </row>
    <row r="93" spans="1:3">
      <c r="A93" s="5">
        <v>1195</v>
      </c>
      <c r="B93" s="5" t="s">
        <v>2687</v>
      </c>
      <c r="C93" s="5" t="s">
        <v>113</v>
      </c>
    </row>
    <row r="94" spans="1:3">
      <c r="A94" s="5">
        <v>1196</v>
      </c>
      <c r="B94" s="5" t="s">
        <v>2688</v>
      </c>
      <c r="C94" s="5" t="s">
        <v>114</v>
      </c>
    </row>
    <row r="95" spans="1:3">
      <c r="A95" s="5">
        <v>1197</v>
      </c>
      <c r="B95" s="5" t="s">
        <v>2689</v>
      </c>
      <c r="C95" s="5" t="s">
        <v>115</v>
      </c>
    </row>
    <row r="96" spans="1:3">
      <c r="A96" s="5">
        <v>1200</v>
      </c>
      <c r="B96" s="5" t="s">
        <v>2690</v>
      </c>
      <c r="C96" s="5" t="s">
        <v>116</v>
      </c>
    </row>
    <row r="97" spans="1:3">
      <c r="A97" s="5">
        <v>1205</v>
      </c>
      <c r="B97" s="5" t="s">
        <v>2691</v>
      </c>
      <c r="C97" s="5" t="s">
        <v>117</v>
      </c>
    </row>
    <row r="98" spans="1:3">
      <c r="A98" s="5">
        <v>1250</v>
      </c>
      <c r="B98" s="5" t="s">
        <v>2692</v>
      </c>
      <c r="C98" s="5" t="s">
        <v>118</v>
      </c>
    </row>
    <row r="99" spans="1:3">
      <c r="A99" s="5">
        <v>1251</v>
      </c>
      <c r="B99" s="5" t="s">
        <v>2693</v>
      </c>
      <c r="C99" s="5" t="s">
        <v>119</v>
      </c>
    </row>
    <row r="100" spans="1:3">
      <c r="A100" s="5">
        <v>1252</v>
      </c>
      <c r="B100" s="5" t="s">
        <v>2694</v>
      </c>
      <c r="C100" s="5" t="s">
        <v>120</v>
      </c>
    </row>
    <row r="101" spans="1:3">
      <c r="A101" s="5">
        <v>1253</v>
      </c>
      <c r="B101" s="5" t="s">
        <v>2695</v>
      </c>
      <c r="C101" s="5" t="s">
        <v>121</v>
      </c>
    </row>
    <row r="102" spans="1:3">
      <c r="A102" s="5">
        <v>1254</v>
      </c>
      <c r="B102" s="5" t="s">
        <v>2696</v>
      </c>
      <c r="C102" s="5" t="s">
        <v>122</v>
      </c>
    </row>
    <row r="103" spans="1:3">
      <c r="A103" s="5">
        <v>1270</v>
      </c>
      <c r="B103" s="5" t="s">
        <v>2697</v>
      </c>
      <c r="C103" s="5" t="s">
        <v>123</v>
      </c>
    </row>
    <row r="104" spans="1:3">
      <c r="A104" s="5">
        <v>1271</v>
      </c>
      <c r="B104" s="5" t="s">
        <v>2698</v>
      </c>
      <c r="C104" s="5" t="s">
        <v>124</v>
      </c>
    </row>
    <row r="105" spans="1:3">
      <c r="A105" s="5">
        <v>1272</v>
      </c>
      <c r="B105" s="5" t="s">
        <v>2699</v>
      </c>
      <c r="C105" s="5" t="s">
        <v>125</v>
      </c>
    </row>
    <row r="106" spans="1:3">
      <c r="A106" s="5">
        <v>1274</v>
      </c>
      <c r="B106" s="5" t="s">
        <v>2700</v>
      </c>
      <c r="C106" s="5" t="s">
        <v>126</v>
      </c>
    </row>
    <row r="107" spans="1:3">
      <c r="A107" s="5">
        <v>1281</v>
      </c>
      <c r="B107" s="5" t="s">
        <v>2701</v>
      </c>
      <c r="C107" s="5" t="s">
        <v>127</v>
      </c>
    </row>
    <row r="108" spans="1:3">
      <c r="A108" s="5">
        <v>1282</v>
      </c>
      <c r="B108" s="5" t="s">
        <v>2702</v>
      </c>
      <c r="C108" s="5" t="s">
        <v>128</v>
      </c>
    </row>
    <row r="109" spans="1:3">
      <c r="A109" s="5">
        <v>1284</v>
      </c>
      <c r="B109" s="5" t="s">
        <v>2703</v>
      </c>
      <c r="C109" s="5" t="s">
        <v>129</v>
      </c>
    </row>
    <row r="110" spans="1:3">
      <c r="A110" s="5">
        <v>1286</v>
      </c>
      <c r="B110" s="5" t="s">
        <v>2704</v>
      </c>
      <c r="C110" s="5" t="s">
        <v>130</v>
      </c>
    </row>
    <row r="111" spans="1:3">
      <c r="A111" s="5">
        <v>1290</v>
      </c>
      <c r="B111" s="5" t="s">
        <v>2705</v>
      </c>
      <c r="C111" s="5" t="s">
        <v>131</v>
      </c>
    </row>
    <row r="112" spans="1:3">
      <c r="A112" s="5">
        <v>1300</v>
      </c>
      <c r="B112" s="5" t="s">
        <v>2706</v>
      </c>
      <c r="C112" s="5" t="s">
        <v>132</v>
      </c>
    </row>
    <row r="113" spans="1:3">
      <c r="A113" s="5">
        <v>1305</v>
      </c>
      <c r="B113" s="5" t="s">
        <v>2707</v>
      </c>
      <c r="C113" s="5" t="s">
        <v>133</v>
      </c>
    </row>
    <row r="114" spans="1:3">
      <c r="A114" s="5">
        <v>1307</v>
      </c>
      <c r="B114" s="5" t="s">
        <v>2708</v>
      </c>
      <c r="C114" s="5" t="s">
        <v>134</v>
      </c>
    </row>
    <row r="115" spans="1:3">
      <c r="A115" s="5">
        <v>1308</v>
      </c>
      <c r="B115" s="5" t="s">
        <v>2709</v>
      </c>
      <c r="C115" s="5" t="s">
        <v>135</v>
      </c>
    </row>
    <row r="116" spans="1:3">
      <c r="A116" s="5">
        <v>1310</v>
      </c>
      <c r="B116" s="5" t="s">
        <v>2710</v>
      </c>
      <c r="C116" s="5" t="s">
        <v>136</v>
      </c>
    </row>
    <row r="117" spans="1:3">
      <c r="A117" s="5">
        <v>1315</v>
      </c>
      <c r="B117" s="5" t="s">
        <v>2711</v>
      </c>
      <c r="C117" s="5" t="s">
        <v>137</v>
      </c>
    </row>
    <row r="118" spans="1:3">
      <c r="A118" s="5">
        <v>1320</v>
      </c>
      <c r="B118" s="5" t="s">
        <v>2712</v>
      </c>
      <c r="C118" s="5" t="s">
        <v>138</v>
      </c>
    </row>
    <row r="119" spans="1:3">
      <c r="A119" s="5">
        <v>1325</v>
      </c>
      <c r="B119" s="5" t="s">
        <v>2713</v>
      </c>
      <c r="C119" s="5" t="s">
        <v>139</v>
      </c>
    </row>
    <row r="120" spans="1:3">
      <c r="A120" s="5">
        <v>1330</v>
      </c>
      <c r="B120" s="5" t="s">
        <v>2714</v>
      </c>
      <c r="C120" s="5" t="s">
        <v>140</v>
      </c>
    </row>
    <row r="121" spans="1:3">
      <c r="A121" s="5">
        <v>1336</v>
      </c>
      <c r="B121" s="5" t="s">
        <v>2715</v>
      </c>
      <c r="C121" s="5" t="s">
        <v>141</v>
      </c>
    </row>
    <row r="122" spans="1:3">
      <c r="A122" s="5">
        <v>1340</v>
      </c>
      <c r="B122" s="5" t="s">
        <v>2716</v>
      </c>
      <c r="C122" s="5" t="s">
        <v>142</v>
      </c>
    </row>
    <row r="123" spans="1:3">
      <c r="A123" s="5">
        <v>1350</v>
      </c>
      <c r="B123" s="5" t="s">
        <v>2717</v>
      </c>
      <c r="C123" s="5" t="s">
        <v>143</v>
      </c>
    </row>
    <row r="124" spans="1:3">
      <c r="A124" s="5">
        <v>1351</v>
      </c>
      <c r="B124" s="5" t="s">
        <v>2718</v>
      </c>
      <c r="C124" s="5" t="s">
        <v>144</v>
      </c>
    </row>
    <row r="125" spans="1:3">
      <c r="A125" s="5">
        <v>1355</v>
      </c>
      <c r="B125" s="5" t="s">
        <v>2719</v>
      </c>
      <c r="C125" s="5" t="s">
        <v>145</v>
      </c>
    </row>
    <row r="126" spans="1:3">
      <c r="A126" s="5">
        <v>1360</v>
      </c>
      <c r="B126" s="5" t="s">
        <v>2720</v>
      </c>
      <c r="C126" s="5" t="s">
        <v>146</v>
      </c>
    </row>
    <row r="127" spans="1:3">
      <c r="A127" s="5">
        <v>1361</v>
      </c>
      <c r="B127" s="5" t="s">
        <v>2721</v>
      </c>
      <c r="C127" s="5" t="s">
        <v>147</v>
      </c>
    </row>
    <row r="128" spans="1:3">
      <c r="A128" s="5">
        <v>1362</v>
      </c>
      <c r="B128" s="5" t="s">
        <v>2722</v>
      </c>
      <c r="C128" s="5" t="s">
        <v>148</v>
      </c>
    </row>
    <row r="129" spans="1:3">
      <c r="A129" s="5">
        <v>1370</v>
      </c>
      <c r="B129" s="5" t="s">
        <v>2723</v>
      </c>
      <c r="C129" s="5" t="s">
        <v>149</v>
      </c>
    </row>
    <row r="130" spans="1:3">
      <c r="A130" s="5">
        <v>1371</v>
      </c>
      <c r="B130" s="5" t="s">
        <v>2724</v>
      </c>
      <c r="C130" s="5" t="s">
        <v>150</v>
      </c>
    </row>
    <row r="131" spans="1:3">
      <c r="A131" s="5">
        <v>1372</v>
      </c>
      <c r="B131" s="5" t="s">
        <v>2725</v>
      </c>
      <c r="C131" s="5" t="s">
        <v>151</v>
      </c>
    </row>
    <row r="132" spans="1:3">
      <c r="A132" s="5">
        <v>1375</v>
      </c>
      <c r="B132" s="5" t="s">
        <v>2726</v>
      </c>
      <c r="C132" s="5" t="s">
        <v>152</v>
      </c>
    </row>
    <row r="133" spans="1:3">
      <c r="A133" s="5">
        <v>1382</v>
      </c>
      <c r="B133" s="5" t="s">
        <v>2727</v>
      </c>
      <c r="C133" s="5" t="s">
        <v>153</v>
      </c>
    </row>
    <row r="134" spans="1:3">
      <c r="A134" s="5">
        <v>1383</v>
      </c>
      <c r="B134" s="5" t="s">
        <v>2728</v>
      </c>
      <c r="C134" s="5" t="s">
        <v>154</v>
      </c>
    </row>
    <row r="135" spans="1:3">
      <c r="A135" s="5">
        <v>1390</v>
      </c>
      <c r="B135" s="5" t="s">
        <v>2729</v>
      </c>
      <c r="C135" s="5" t="s">
        <v>155</v>
      </c>
    </row>
    <row r="136" spans="1:3">
      <c r="A136" s="5">
        <v>1395</v>
      </c>
      <c r="B136" s="5" t="s">
        <v>2730</v>
      </c>
      <c r="C136" s="5" t="s">
        <v>156</v>
      </c>
    </row>
    <row r="137" spans="1:3">
      <c r="A137" s="5">
        <v>1400</v>
      </c>
      <c r="B137" s="5" t="s">
        <v>2731</v>
      </c>
      <c r="C137" s="5" t="s">
        <v>157</v>
      </c>
    </row>
    <row r="138" spans="1:3">
      <c r="A138" s="5">
        <v>1401</v>
      </c>
      <c r="B138" s="5" t="s">
        <v>2732</v>
      </c>
      <c r="C138" s="5" t="s">
        <v>158</v>
      </c>
    </row>
    <row r="139" spans="1:3">
      <c r="A139" s="5">
        <v>1402</v>
      </c>
      <c r="B139" s="5" t="s">
        <v>2733</v>
      </c>
      <c r="C139" s="5" t="s">
        <v>159</v>
      </c>
    </row>
    <row r="140" spans="1:3">
      <c r="A140" s="5">
        <v>1405</v>
      </c>
      <c r="B140" s="5" t="s">
        <v>2734</v>
      </c>
      <c r="C140" s="5" t="s">
        <v>160</v>
      </c>
    </row>
    <row r="141" spans="1:3">
      <c r="A141" s="5">
        <v>1407</v>
      </c>
      <c r="B141" s="5" t="s">
        <v>2735</v>
      </c>
      <c r="C141" s="5" t="s">
        <v>161</v>
      </c>
    </row>
    <row r="142" spans="1:3">
      <c r="A142" s="5">
        <v>1408</v>
      </c>
      <c r="B142" s="5" t="s">
        <v>2709</v>
      </c>
      <c r="C142" s="5" t="s">
        <v>162</v>
      </c>
    </row>
    <row r="143" spans="1:3">
      <c r="A143" s="5">
        <v>1410</v>
      </c>
      <c r="B143" s="5" t="s">
        <v>2736</v>
      </c>
      <c r="C143" s="5" t="s">
        <v>163</v>
      </c>
    </row>
    <row r="144" spans="1:3">
      <c r="A144" s="5">
        <v>1411</v>
      </c>
      <c r="B144" s="5" t="s">
        <v>2737</v>
      </c>
      <c r="C144" s="5" t="s">
        <v>164</v>
      </c>
    </row>
    <row r="145" spans="1:3">
      <c r="A145" s="5">
        <v>1420</v>
      </c>
      <c r="B145" s="5" t="s">
        <v>2738</v>
      </c>
      <c r="C145" s="5" t="s">
        <v>165</v>
      </c>
    </row>
    <row r="146" spans="1:3">
      <c r="A146" s="5">
        <v>1421</v>
      </c>
      <c r="B146" s="5" t="s">
        <v>2739</v>
      </c>
      <c r="C146" s="5" t="s">
        <v>166</v>
      </c>
    </row>
    <row r="147" spans="1:3">
      <c r="A147" s="5">
        <v>1422</v>
      </c>
      <c r="B147" s="5" t="s">
        <v>2740</v>
      </c>
      <c r="C147" s="5" t="s">
        <v>167</v>
      </c>
    </row>
    <row r="148" spans="1:3">
      <c r="A148" s="5">
        <v>1423</v>
      </c>
      <c r="B148" s="5" t="s">
        <v>2741</v>
      </c>
      <c r="C148" s="5" t="s">
        <v>168</v>
      </c>
    </row>
    <row r="149" spans="1:3">
      <c r="A149" s="5">
        <v>1424</v>
      </c>
      <c r="B149" s="5" t="s">
        <v>2742</v>
      </c>
      <c r="C149" s="5" t="s">
        <v>169</v>
      </c>
    </row>
    <row r="150" spans="1:3">
      <c r="A150" s="5">
        <v>1425</v>
      </c>
      <c r="B150" s="5" t="s">
        <v>2743</v>
      </c>
      <c r="C150" s="5" t="s">
        <v>170</v>
      </c>
    </row>
    <row r="151" spans="1:3">
      <c r="A151" s="5">
        <v>1426</v>
      </c>
      <c r="B151" s="5" t="s">
        <v>2744</v>
      </c>
      <c r="C151" s="5" t="s">
        <v>171</v>
      </c>
    </row>
    <row r="152" spans="1:3">
      <c r="A152" s="5">
        <v>1429</v>
      </c>
      <c r="B152" s="5" t="s">
        <v>2745</v>
      </c>
      <c r="C152" s="5" t="s">
        <v>172</v>
      </c>
    </row>
    <row r="153" spans="1:3">
      <c r="A153" s="5">
        <v>1430</v>
      </c>
      <c r="B153" s="5" t="s">
        <v>2745</v>
      </c>
      <c r="C153" s="5" t="s">
        <v>173</v>
      </c>
    </row>
    <row r="154" spans="1:3">
      <c r="A154" s="5">
        <v>1431</v>
      </c>
      <c r="B154" s="5" t="s">
        <v>2746</v>
      </c>
      <c r="C154" s="5" t="s">
        <v>174</v>
      </c>
    </row>
    <row r="155" spans="1:3">
      <c r="A155" s="5">
        <v>1435</v>
      </c>
      <c r="B155" s="5" t="s">
        <v>2747</v>
      </c>
      <c r="C155" s="5" t="s">
        <v>175</v>
      </c>
    </row>
    <row r="156" spans="1:3">
      <c r="A156" s="5">
        <v>1440</v>
      </c>
      <c r="B156" s="5" t="s">
        <v>2748</v>
      </c>
      <c r="C156" s="5" t="s">
        <v>176</v>
      </c>
    </row>
    <row r="157" spans="1:3">
      <c r="A157" s="5">
        <v>1450</v>
      </c>
      <c r="B157" s="5" t="s">
        <v>2749</v>
      </c>
      <c r="C157" s="5" t="s">
        <v>177</v>
      </c>
    </row>
    <row r="158" spans="1:3">
      <c r="A158" s="5">
        <v>1451</v>
      </c>
      <c r="B158" s="5" t="s">
        <v>2750</v>
      </c>
      <c r="C158" s="5" t="s">
        <v>178</v>
      </c>
    </row>
    <row r="159" spans="1:3">
      <c r="A159" s="5">
        <v>1452</v>
      </c>
      <c r="B159" s="5" t="s">
        <v>2751</v>
      </c>
      <c r="C159" s="5" t="s">
        <v>179</v>
      </c>
    </row>
    <row r="160" spans="1:3">
      <c r="A160" s="5">
        <v>1453</v>
      </c>
      <c r="B160" s="5" t="s">
        <v>2752</v>
      </c>
      <c r="C160" s="5" t="s">
        <v>180</v>
      </c>
    </row>
    <row r="161" spans="1:3">
      <c r="A161" s="5">
        <v>1454</v>
      </c>
      <c r="B161" s="5" t="s">
        <v>2753</v>
      </c>
      <c r="C161" s="5" t="s">
        <v>181</v>
      </c>
    </row>
    <row r="162" spans="1:3">
      <c r="A162" s="12">
        <v>1455</v>
      </c>
      <c r="B162" s="12" t="s">
        <v>2754</v>
      </c>
      <c r="C162" s="12" t="s">
        <v>182</v>
      </c>
    </row>
    <row r="163" spans="1:3">
      <c r="A163" s="5">
        <v>1456</v>
      </c>
      <c r="B163" s="5" t="s">
        <v>2755</v>
      </c>
      <c r="C163" s="5" t="s">
        <v>183</v>
      </c>
    </row>
    <row r="164" spans="1:3">
      <c r="A164" s="5">
        <v>1457</v>
      </c>
      <c r="B164" s="5" t="s">
        <v>2756</v>
      </c>
      <c r="C164" s="5" t="s">
        <v>184</v>
      </c>
    </row>
    <row r="165" spans="1:3">
      <c r="A165" s="5">
        <v>1458</v>
      </c>
      <c r="B165" s="5" t="s">
        <v>2757</v>
      </c>
      <c r="C165" s="5" t="s">
        <v>185</v>
      </c>
    </row>
    <row r="166" spans="1:3">
      <c r="A166" s="5">
        <v>1459</v>
      </c>
      <c r="B166" s="5" t="s">
        <v>2758</v>
      </c>
      <c r="C166" s="5" t="s">
        <v>186</v>
      </c>
    </row>
    <row r="167" spans="1:3">
      <c r="A167" s="5">
        <v>1460</v>
      </c>
      <c r="B167" s="5" t="s">
        <v>2759</v>
      </c>
      <c r="C167" s="5" t="s">
        <v>187</v>
      </c>
    </row>
    <row r="168" spans="1:3">
      <c r="A168" s="5">
        <v>1461</v>
      </c>
      <c r="B168" s="5" t="s">
        <v>2760</v>
      </c>
      <c r="C168" s="5" t="s">
        <v>188</v>
      </c>
    </row>
    <row r="169" spans="1:3">
      <c r="A169" s="5">
        <v>1462</v>
      </c>
      <c r="B169" s="5" t="s">
        <v>2761</v>
      </c>
      <c r="C169" s="5" t="s">
        <v>189</v>
      </c>
    </row>
    <row r="170" spans="1:3">
      <c r="A170" s="5">
        <v>1463</v>
      </c>
      <c r="B170" s="5" t="s">
        <v>2762</v>
      </c>
      <c r="C170" s="5" t="s">
        <v>190</v>
      </c>
    </row>
    <row r="171" spans="1:3">
      <c r="A171" s="5">
        <v>1464</v>
      </c>
      <c r="B171" s="5" t="s">
        <v>2763</v>
      </c>
      <c r="C171" s="5" t="s">
        <v>191</v>
      </c>
    </row>
    <row r="172" spans="1:3">
      <c r="A172" s="5">
        <v>1465</v>
      </c>
      <c r="B172" s="5" t="s">
        <v>2764</v>
      </c>
      <c r="C172" s="5" t="s">
        <v>192</v>
      </c>
    </row>
    <row r="173" spans="1:3">
      <c r="A173" s="5">
        <v>1466</v>
      </c>
      <c r="B173" s="5" t="s">
        <v>2765</v>
      </c>
      <c r="C173" s="5" t="s">
        <v>193</v>
      </c>
    </row>
    <row r="174" spans="1:3">
      <c r="A174" s="5">
        <v>1467</v>
      </c>
      <c r="B174" s="5" t="s">
        <v>2766</v>
      </c>
      <c r="C174" s="5" t="s">
        <v>194</v>
      </c>
    </row>
    <row r="175" spans="1:3">
      <c r="A175" s="5">
        <v>1468</v>
      </c>
      <c r="B175" s="5" t="s">
        <v>2767</v>
      </c>
      <c r="C175" s="5" t="s">
        <v>195</v>
      </c>
    </row>
    <row r="176" spans="1:3">
      <c r="A176" s="5">
        <v>1470</v>
      </c>
      <c r="B176" s="5" t="s">
        <v>2768</v>
      </c>
      <c r="C176" s="5" t="s">
        <v>196</v>
      </c>
    </row>
    <row r="177" spans="1:3">
      <c r="A177" s="5">
        <v>1472</v>
      </c>
      <c r="B177" s="5" t="s">
        <v>2769</v>
      </c>
      <c r="C177" s="5" t="s">
        <v>197</v>
      </c>
    </row>
    <row r="178" spans="1:3">
      <c r="A178" s="5">
        <v>1473</v>
      </c>
      <c r="B178" s="5" t="s">
        <v>2770</v>
      </c>
      <c r="C178" s="5" t="s">
        <v>198</v>
      </c>
    </row>
    <row r="179" spans="1:3">
      <c r="A179" s="5">
        <v>1475</v>
      </c>
      <c r="B179" s="5" t="s">
        <v>2771</v>
      </c>
      <c r="C179" s="5" t="s">
        <v>199</v>
      </c>
    </row>
    <row r="180" spans="1:3">
      <c r="A180" s="5">
        <v>1476</v>
      </c>
      <c r="B180" s="5" t="s">
        <v>2772</v>
      </c>
      <c r="C180" s="5" t="s">
        <v>200</v>
      </c>
    </row>
    <row r="181" spans="1:3">
      <c r="A181" s="5">
        <v>1477</v>
      </c>
      <c r="B181" s="5" t="s">
        <v>2773</v>
      </c>
      <c r="C181" s="5" t="s">
        <v>201</v>
      </c>
    </row>
    <row r="182" spans="1:3">
      <c r="A182" s="5">
        <v>1478</v>
      </c>
      <c r="B182" s="5" t="s">
        <v>2774</v>
      </c>
      <c r="C182" s="5" t="s">
        <v>202</v>
      </c>
    </row>
    <row r="183" spans="1:3">
      <c r="A183" s="5">
        <v>1480</v>
      </c>
      <c r="B183" s="5" t="s">
        <v>2775</v>
      </c>
      <c r="C183" s="5" t="s">
        <v>203</v>
      </c>
    </row>
    <row r="184" spans="1:3">
      <c r="A184" s="5">
        <v>1481</v>
      </c>
      <c r="B184" s="5" t="s">
        <v>2776</v>
      </c>
      <c r="C184" s="5" t="s">
        <v>204</v>
      </c>
    </row>
    <row r="185" spans="1:3">
      <c r="A185" s="5">
        <v>1482</v>
      </c>
      <c r="B185" s="5" t="s">
        <v>2777</v>
      </c>
      <c r="C185" s="5" t="s">
        <v>205</v>
      </c>
    </row>
    <row r="186" spans="1:3">
      <c r="A186" s="5">
        <v>1483</v>
      </c>
      <c r="B186" s="5" t="s">
        <v>2778</v>
      </c>
      <c r="C186" s="5" t="s">
        <v>206</v>
      </c>
    </row>
    <row r="187" spans="1:3">
      <c r="A187" s="5">
        <v>1484</v>
      </c>
      <c r="B187" s="5" t="s">
        <v>2779</v>
      </c>
      <c r="C187" s="5" t="s">
        <v>207</v>
      </c>
    </row>
    <row r="188" spans="1:3">
      <c r="A188" s="5">
        <v>1485</v>
      </c>
      <c r="B188" s="5" t="s">
        <v>2780</v>
      </c>
      <c r="C188" s="5" t="s">
        <v>208</v>
      </c>
    </row>
    <row r="189" spans="1:3">
      <c r="A189" s="5">
        <v>1486</v>
      </c>
      <c r="B189" s="5" t="s">
        <v>2781</v>
      </c>
      <c r="C189" s="5" t="s">
        <v>209</v>
      </c>
    </row>
    <row r="190" spans="1:3">
      <c r="A190" s="5">
        <v>1487</v>
      </c>
      <c r="B190" s="5" t="s">
        <v>2782</v>
      </c>
      <c r="C190" s="5" t="s">
        <v>210</v>
      </c>
    </row>
    <row r="191" spans="1:3">
      <c r="A191" s="5">
        <v>1488</v>
      </c>
      <c r="B191" s="5" t="s">
        <v>2783</v>
      </c>
      <c r="C191" s="5" t="s">
        <v>211</v>
      </c>
    </row>
    <row r="192" spans="1:3">
      <c r="A192" s="5">
        <v>1489</v>
      </c>
      <c r="B192" s="5" t="s">
        <v>2784</v>
      </c>
      <c r="C192" s="5" t="s">
        <v>212</v>
      </c>
    </row>
    <row r="193" spans="1:3">
      <c r="A193" s="5">
        <v>1490</v>
      </c>
      <c r="B193" s="5" t="s">
        <v>2785</v>
      </c>
      <c r="C193" s="5" t="s">
        <v>213</v>
      </c>
    </row>
    <row r="194" spans="1:3">
      <c r="A194" s="5">
        <v>1491</v>
      </c>
      <c r="B194" s="5" t="s">
        <v>2786</v>
      </c>
      <c r="C194" s="5" t="s">
        <v>214</v>
      </c>
    </row>
    <row r="195" spans="1:3">
      <c r="A195" s="5">
        <v>1492</v>
      </c>
      <c r="B195" s="5" t="s">
        <v>2787</v>
      </c>
      <c r="C195" s="5" t="s">
        <v>215</v>
      </c>
    </row>
    <row r="196" spans="1:3">
      <c r="A196" s="5">
        <v>1493</v>
      </c>
      <c r="B196" s="5" t="s">
        <v>2788</v>
      </c>
      <c r="C196" s="5" t="s">
        <v>216</v>
      </c>
    </row>
    <row r="197" spans="1:3">
      <c r="A197" s="5">
        <v>1494</v>
      </c>
      <c r="B197" s="5" t="s">
        <v>1684</v>
      </c>
      <c r="C197" s="5" t="s">
        <v>217</v>
      </c>
    </row>
    <row r="198" spans="1:3">
      <c r="A198" s="5">
        <v>1495</v>
      </c>
      <c r="B198" s="5" t="s">
        <v>2789</v>
      </c>
      <c r="C198" s="5" t="s">
        <v>218</v>
      </c>
    </row>
    <row r="199" spans="1:3">
      <c r="A199" s="5">
        <v>1496</v>
      </c>
      <c r="B199" s="5" t="s">
        <v>2790</v>
      </c>
      <c r="C199" s="5" t="s">
        <v>219</v>
      </c>
    </row>
    <row r="200" spans="1:3">
      <c r="A200" s="5">
        <v>1497</v>
      </c>
      <c r="B200" s="5" t="s">
        <v>1685</v>
      </c>
      <c r="C200" s="5" t="s">
        <v>220</v>
      </c>
    </row>
    <row r="201" spans="1:3">
      <c r="A201" s="5">
        <v>1498</v>
      </c>
      <c r="B201" s="5" t="s">
        <v>1686</v>
      </c>
      <c r="C201" s="5" t="s">
        <v>221</v>
      </c>
    </row>
    <row r="202" spans="1:3">
      <c r="A202" s="5">
        <v>1500</v>
      </c>
      <c r="B202" s="5" t="s">
        <v>2791</v>
      </c>
      <c r="C202" s="5" t="s">
        <v>222</v>
      </c>
    </row>
    <row r="203" spans="1:3">
      <c r="A203" s="5">
        <v>1501</v>
      </c>
      <c r="B203" s="5" t="s">
        <v>2792</v>
      </c>
      <c r="C203" s="5" t="s">
        <v>223</v>
      </c>
    </row>
    <row r="204" spans="1:3">
      <c r="A204" s="5">
        <v>1502</v>
      </c>
      <c r="B204" s="5" t="s">
        <v>2793</v>
      </c>
      <c r="C204" s="5" t="s">
        <v>224</v>
      </c>
    </row>
    <row r="205" spans="1:3">
      <c r="A205" s="5">
        <v>1503</v>
      </c>
      <c r="B205" s="5" t="s">
        <v>2794</v>
      </c>
      <c r="C205" s="5" t="s">
        <v>225</v>
      </c>
    </row>
    <row r="206" spans="1:3">
      <c r="A206" s="5">
        <v>1505</v>
      </c>
      <c r="B206" s="5" t="s">
        <v>2794</v>
      </c>
      <c r="C206" s="5" t="s">
        <v>226</v>
      </c>
    </row>
    <row r="207" spans="1:3">
      <c r="A207" s="5">
        <v>1510</v>
      </c>
      <c r="B207" s="5" t="s">
        <v>2795</v>
      </c>
      <c r="C207" s="5" t="s">
        <v>227</v>
      </c>
    </row>
    <row r="208" spans="1:3">
      <c r="A208" s="5">
        <v>1520</v>
      </c>
      <c r="B208" s="5" t="s">
        <v>2796</v>
      </c>
      <c r="C208" s="5" t="s">
        <v>228</v>
      </c>
    </row>
    <row r="209" spans="1:3">
      <c r="A209" s="5">
        <v>1550</v>
      </c>
      <c r="B209" s="5" t="s">
        <v>2797</v>
      </c>
      <c r="C209" s="5" t="s">
        <v>229</v>
      </c>
    </row>
    <row r="210" spans="1:3">
      <c r="A210" s="5">
        <v>1551</v>
      </c>
      <c r="B210" s="5" t="s">
        <v>2798</v>
      </c>
      <c r="C210" s="5" t="s">
        <v>230</v>
      </c>
    </row>
    <row r="211" spans="1:3">
      <c r="A211" s="5">
        <v>1552</v>
      </c>
      <c r="B211" s="5" t="s">
        <v>2799</v>
      </c>
      <c r="C211" s="5" t="s">
        <v>231</v>
      </c>
    </row>
    <row r="212" spans="1:3">
      <c r="A212" s="5">
        <v>1553</v>
      </c>
      <c r="B212" s="5" t="s">
        <v>2800</v>
      </c>
      <c r="C212" s="5" t="s">
        <v>232</v>
      </c>
    </row>
    <row r="213" spans="1:3">
      <c r="A213" s="5">
        <v>1554</v>
      </c>
      <c r="B213" s="5" t="s">
        <v>2801</v>
      </c>
      <c r="C213" s="5" t="s">
        <v>233</v>
      </c>
    </row>
    <row r="214" spans="1:3">
      <c r="A214" s="5">
        <v>1555</v>
      </c>
      <c r="B214" s="5" t="s">
        <v>2802</v>
      </c>
      <c r="C214" s="5" t="s">
        <v>234</v>
      </c>
    </row>
    <row r="215" spans="1:3">
      <c r="A215" s="5">
        <v>1556</v>
      </c>
      <c r="B215" s="5" t="s">
        <v>2803</v>
      </c>
      <c r="C215" s="5" t="s">
        <v>235</v>
      </c>
    </row>
    <row r="216" spans="1:3">
      <c r="A216" s="5">
        <v>1557</v>
      </c>
      <c r="B216" s="5" t="s">
        <v>2804</v>
      </c>
      <c r="C216" s="5" t="s">
        <v>236</v>
      </c>
    </row>
    <row r="217" spans="1:3">
      <c r="A217" s="5">
        <v>1558</v>
      </c>
      <c r="B217" s="5" t="s">
        <v>2805</v>
      </c>
      <c r="C217" s="5" t="s">
        <v>237</v>
      </c>
    </row>
    <row r="218" spans="1:3">
      <c r="A218" s="5">
        <v>1559</v>
      </c>
      <c r="B218" s="5" t="s">
        <v>2806</v>
      </c>
      <c r="C218" s="5" t="s">
        <v>238</v>
      </c>
    </row>
    <row r="219" spans="1:3">
      <c r="A219" s="5">
        <v>1560</v>
      </c>
      <c r="B219" s="5" t="s">
        <v>2807</v>
      </c>
      <c r="C219" s="5" t="s">
        <v>239</v>
      </c>
    </row>
    <row r="220" spans="1:3">
      <c r="A220" s="5">
        <v>1561</v>
      </c>
      <c r="B220" s="5" t="s">
        <v>2808</v>
      </c>
      <c r="C220" s="5" t="s">
        <v>240</v>
      </c>
    </row>
    <row r="221" spans="1:3">
      <c r="A221" s="5">
        <v>1562</v>
      </c>
      <c r="B221" s="5" t="s">
        <v>2809</v>
      </c>
      <c r="C221" s="5" t="s">
        <v>241</v>
      </c>
    </row>
    <row r="222" spans="1:3">
      <c r="A222" s="5">
        <v>1563</v>
      </c>
      <c r="B222" s="5" t="s">
        <v>2810</v>
      </c>
      <c r="C222" s="5" t="s">
        <v>242</v>
      </c>
    </row>
    <row r="223" spans="1:3">
      <c r="A223" s="5">
        <v>1564</v>
      </c>
      <c r="B223" s="5" t="s">
        <v>2811</v>
      </c>
      <c r="C223" s="5" t="s">
        <v>243</v>
      </c>
    </row>
    <row r="224" spans="1:3">
      <c r="A224" s="5">
        <v>1565</v>
      </c>
      <c r="B224" s="5" t="s">
        <v>2812</v>
      </c>
      <c r="C224" s="5" t="s">
        <v>244</v>
      </c>
    </row>
    <row r="225" spans="1:3">
      <c r="A225" s="5">
        <v>1566</v>
      </c>
      <c r="B225" s="5" t="s">
        <v>2813</v>
      </c>
      <c r="C225" s="5" t="s">
        <v>245</v>
      </c>
    </row>
    <row r="226" spans="1:3">
      <c r="A226" s="5">
        <v>1567</v>
      </c>
      <c r="B226" s="5" t="s">
        <v>2814</v>
      </c>
      <c r="C226" s="5" t="s">
        <v>246</v>
      </c>
    </row>
    <row r="227" spans="1:3">
      <c r="A227" s="5">
        <v>1568</v>
      </c>
      <c r="B227" s="5" t="s">
        <v>2815</v>
      </c>
      <c r="C227" s="5" t="s">
        <v>247</v>
      </c>
    </row>
    <row r="228" spans="1:3">
      <c r="A228" s="5">
        <v>1572</v>
      </c>
      <c r="B228" s="5" t="s">
        <v>2816</v>
      </c>
      <c r="C228" s="5" t="s">
        <v>248</v>
      </c>
    </row>
    <row r="229" spans="1:3">
      <c r="A229" s="5">
        <v>1573</v>
      </c>
      <c r="B229" s="5" t="s">
        <v>2817</v>
      </c>
      <c r="C229" s="5" t="s">
        <v>249</v>
      </c>
    </row>
    <row r="230" spans="1:3">
      <c r="A230" s="5">
        <v>1574</v>
      </c>
      <c r="B230" s="5" t="s">
        <v>2818</v>
      </c>
      <c r="C230" s="5" t="s">
        <v>250</v>
      </c>
    </row>
    <row r="231" spans="1:3">
      <c r="A231" s="5">
        <v>1575</v>
      </c>
      <c r="B231" s="5" t="s">
        <v>2819</v>
      </c>
      <c r="C231" s="5" t="s">
        <v>251</v>
      </c>
    </row>
    <row r="232" spans="1:3">
      <c r="A232" s="5">
        <v>1576</v>
      </c>
      <c r="B232" s="5" t="s">
        <v>2820</v>
      </c>
      <c r="C232" s="5" t="s">
        <v>252</v>
      </c>
    </row>
    <row r="233" spans="1:3">
      <c r="A233" s="5">
        <v>1580</v>
      </c>
      <c r="B233" s="5" t="s">
        <v>2821</v>
      </c>
      <c r="C233" s="5" t="s">
        <v>253</v>
      </c>
    </row>
    <row r="234" spans="1:3">
      <c r="A234" s="5">
        <v>1581</v>
      </c>
      <c r="B234" s="5" t="s">
        <v>2822</v>
      </c>
      <c r="C234" s="5" t="s">
        <v>254</v>
      </c>
    </row>
    <row r="235" spans="1:3">
      <c r="A235" s="5">
        <v>1582</v>
      </c>
      <c r="B235" s="5" t="s">
        <v>2823</v>
      </c>
      <c r="C235" s="5" t="s">
        <v>255</v>
      </c>
    </row>
    <row r="236" spans="1:3">
      <c r="A236" s="5">
        <v>1584</v>
      </c>
      <c r="B236" s="5" t="s">
        <v>2824</v>
      </c>
      <c r="C236" s="5" t="s">
        <v>256</v>
      </c>
    </row>
    <row r="237" spans="1:3">
      <c r="A237" s="5">
        <v>1585</v>
      </c>
      <c r="B237" s="5" t="s">
        <v>2825</v>
      </c>
      <c r="C237" s="5" t="s">
        <v>257</v>
      </c>
    </row>
    <row r="238" spans="1:3">
      <c r="A238" s="5">
        <v>1586</v>
      </c>
      <c r="B238" s="5" t="s">
        <v>2826</v>
      </c>
      <c r="C238" s="5" t="s">
        <v>258</v>
      </c>
    </row>
    <row r="239" spans="1:3">
      <c r="A239" s="5">
        <v>1587</v>
      </c>
      <c r="B239" s="5" t="s">
        <v>2827</v>
      </c>
      <c r="C239" s="5" t="s">
        <v>259</v>
      </c>
    </row>
    <row r="240" spans="1:3">
      <c r="A240" s="5">
        <v>1588</v>
      </c>
      <c r="B240" s="5" t="s">
        <v>2828</v>
      </c>
      <c r="C240" s="5" t="s">
        <v>260</v>
      </c>
    </row>
    <row r="241" spans="1:3">
      <c r="A241" s="5">
        <v>1590</v>
      </c>
      <c r="B241" s="5" t="s">
        <v>2829</v>
      </c>
      <c r="C241" s="5" t="s">
        <v>261</v>
      </c>
    </row>
    <row r="242" spans="1:3">
      <c r="A242" s="5">
        <v>1600</v>
      </c>
      <c r="B242" s="5" t="s">
        <v>2830</v>
      </c>
      <c r="C242" s="5" t="s">
        <v>262</v>
      </c>
    </row>
    <row r="243" spans="1:3">
      <c r="A243" s="5">
        <v>1650</v>
      </c>
      <c r="B243" s="5" t="s">
        <v>2831</v>
      </c>
      <c r="C243" s="5" t="s">
        <v>263</v>
      </c>
    </row>
    <row r="244" spans="1:3">
      <c r="A244" s="5">
        <v>1651</v>
      </c>
      <c r="B244" s="5" t="s">
        <v>2832</v>
      </c>
      <c r="C244" s="5" t="s">
        <v>264</v>
      </c>
    </row>
    <row r="245" spans="1:3">
      <c r="A245" s="5">
        <v>1652</v>
      </c>
      <c r="B245" s="5" t="s">
        <v>2833</v>
      </c>
      <c r="C245" s="5" t="s">
        <v>265</v>
      </c>
    </row>
    <row r="246" spans="1:3">
      <c r="A246" s="5">
        <v>1653</v>
      </c>
      <c r="B246" s="5" t="s">
        <v>2834</v>
      </c>
      <c r="C246" s="5" t="s">
        <v>266</v>
      </c>
    </row>
    <row r="247" spans="1:3">
      <c r="A247" s="5">
        <v>1654</v>
      </c>
      <c r="B247" s="5" t="s">
        <v>2835</v>
      </c>
      <c r="C247" s="5" t="s">
        <v>267</v>
      </c>
    </row>
    <row r="248" spans="1:3">
      <c r="A248" s="5">
        <v>1665</v>
      </c>
      <c r="B248" s="5" t="s">
        <v>2836</v>
      </c>
      <c r="C248" s="5" t="s">
        <v>268</v>
      </c>
    </row>
    <row r="249" spans="1:3">
      <c r="A249" s="5">
        <v>1666</v>
      </c>
      <c r="B249" s="5" t="s">
        <v>2837</v>
      </c>
      <c r="C249" s="5" t="s">
        <v>269</v>
      </c>
    </row>
    <row r="250" spans="1:3">
      <c r="A250" s="5">
        <v>1671</v>
      </c>
      <c r="B250" s="5" t="s">
        <v>2838</v>
      </c>
      <c r="C250" s="5" t="s">
        <v>270</v>
      </c>
    </row>
    <row r="251" spans="1:3">
      <c r="A251" s="5">
        <v>1673</v>
      </c>
      <c r="B251" s="5" t="s">
        <v>2839</v>
      </c>
      <c r="C251" s="5" t="s">
        <v>271</v>
      </c>
    </row>
    <row r="252" spans="1:3">
      <c r="A252" s="5">
        <v>1675</v>
      </c>
      <c r="B252" s="5" t="s">
        <v>2840</v>
      </c>
      <c r="C252" s="5" t="s">
        <v>272</v>
      </c>
    </row>
    <row r="253" spans="1:3">
      <c r="A253" s="5">
        <v>1700</v>
      </c>
      <c r="B253" s="5" t="s">
        <v>2841</v>
      </c>
      <c r="C253" s="5" t="s">
        <v>273</v>
      </c>
    </row>
    <row r="254" spans="1:3">
      <c r="A254" s="5">
        <v>1750</v>
      </c>
      <c r="B254" s="5" t="s">
        <v>2842</v>
      </c>
      <c r="C254" s="5" t="s">
        <v>274</v>
      </c>
    </row>
    <row r="255" spans="1:3">
      <c r="A255" s="5">
        <v>1751</v>
      </c>
      <c r="B255" s="5" t="s">
        <v>2843</v>
      </c>
      <c r="C255" s="5" t="s">
        <v>275</v>
      </c>
    </row>
    <row r="256" spans="1:3">
      <c r="A256" s="5">
        <v>1770</v>
      </c>
      <c r="B256" s="5" t="s">
        <v>2844</v>
      </c>
      <c r="C256" s="5" t="s">
        <v>276</v>
      </c>
    </row>
    <row r="257" spans="1:3">
      <c r="A257" s="5">
        <v>1780</v>
      </c>
      <c r="B257" s="5" t="s">
        <v>2845</v>
      </c>
      <c r="C257" s="5" t="s">
        <v>277</v>
      </c>
    </row>
    <row r="258" spans="1:3">
      <c r="A258" s="5">
        <v>1790</v>
      </c>
      <c r="B258" s="5" t="s">
        <v>2846</v>
      </c>
      <c r="C258" s="5" t="s">
        <v>278</v>
      </c>
    </row>
    <row r="259" spans="1:3">
      <c r="A259" s="5">
        <v>1850</v>
      </c>
      <c r="B259" s="5" t="s">
        <v>2847</v>
      </c>
      <c r="C259" s="5" t="s">
        <v>279</v>
      </c>
    </row>
    <row r="260" spans="1:3">
      <c r="A260" s="5">
        <v>1999</v>
      </c>
      <c r="B260" s="5" t="s">
        <v>1687</v>
      </c>
      <c r="C260" s="5" t="s">
        <v>280</v>
      </c>
    </row>
    <row r="261" spans="1:3">
      <c r="A261" s="5">
        <v>2000</v>
      </c>
      <c r="B261" s="5" t="s">
        <v>2848</v>
      </c>
      <c r="C261" s="5" t="s">
        <v>281</v>
      </c>
    </row>
    <row r="262" spans="1:3">
      <c r="A262" s="5">
        <v>2010</v>
      </c>
      <c r="B262" s="5" t="s">
        <v>2849</v>
      </c>
      <c r="C262" s="5" t="s">
        <v>282</v>
      </c>
    </row>
    <row r="263" spans="1:3">
      <c r="A263" s="5">
        <v>2050</v>
      </c>
      <c r="B263" s="5" t="s">
        <v>2850</v>
      </c>
      <c r="C263" s="5" t="s">
        <v>283</v>
      </c>
    </row>
    <row r="264" spans="1:3">
      <c r="A264" s="5">
        <v>2051</v>
      </c>
      <c r="B264" s="5" t="s">
        <v>2851</v>
      </c>
      <c r="C264" s="5" t="s">
        <v>284</v>
      </c>
    </row>
    <row r="265" spans="1:3">
      <c r="A265" s="5">
        <v>2060</v>
      </c>
      <c r="B265" s="5" t="s">
        <v>2852</v>
      </c>
      <c r="C265" s="5" t="s">
        <v>285</v>
      </c>
    </row>
    <row r="266" spans="1:3">
      <c r="A266" s="5">
        <v>2078</v>
      </c>
      <c r="B266" s="5" t="s">
        <v>2853</v>
      </c>
      <c r="C266" s="5" t="s">
        <v>286</v>
      </c>
    </row>
    <row r="267" spans="1:3">
      <c r="A267" s="5">
        <v>2099</v>
      </c>
      <c r="B267" s="5" t="s">
        <v>2854</v>
      </c>
      <c r="C267" s="5" t="s">
        <v>287</v>
      </c>
    </row>
    <row r="268" spans="1:3">
      <c r="A268" s="12">
        <v>2129</v>
      </c>
      <c r="B268" s="12" t="s">
        <v>2855</v>
      </c>
      <c r="C268" s="12" t="s">
        <v>288</v>
      </c>
    </row>
    <row r="269" spans="1:3">
      <c r="A269" s="12">
        <v>2198</v>
      </c>
      <c r="B269" s="12" t="s">
        <v>2855</v>
      </c>
      <c r="C269" s="12" t="s">
        <v>289</v>
      </c>
    </row>
    <row r="270" spans="1:3">
      <c r="A270" s="5">
        <v>2199</v>
      </c>
      <c r="B270" s="5" t="s">
        <v>1688</v>
      </c>
      <c r="C270" s="5" t="s">
        <v>290</v>
      </c>
    </row>
    <row r="271" spans="1:3">
      <c r="A271" s="5">
        <v>2299</v>
      </c>
      <c r="B271" s="5" t="s">
        <v>2856</v>
      </c>
      <c r="C271" s="5" t="s">
        <v>291</v>
      </c>
    </row>
    <row r="272" spans="1:3">
      <c r="A272" s="5">
        <v>2399</v>
      </c>
      <c r="B272" s="5" t="s">
        <v>2857</v>
      </c>
      <c r="C272" s="5" t="s">
        <v>292</v>
      </c>
    </row>
    <row r="273" spans="1:3">
      <c r="A273" s="5">
        <v>2499</v>
      </c>
      <c r="B273" s="5" t="s">
        <v>2858</v>
      </c>
      <c r="C273" s="5" t="s">
        <v>293</v>
      </c>
    </row>
    <row r="274" spans="1:3">
      <c r="A274" s="12">
        <v>2599</v>
      </c>
      <c r="B274" s="12" t="s">
        <v>2856</v>
      </c>
      <c r="C274" s="12" t="s">
        <v>294</v>
      </c>
    </row>
    <row r="275" spans="1:3">
      <c r="A275" s="12">
        <v>2699</v>
      </c>
      <c r="B275" s="12" t="s">
        <v>2859</v>
      </c>
      <c r="C275" s="12" t="s">
        <v>295</v>
      </c>
    </row>
    <row r="276" spans="1:3">
      <c r="A276" s="12">
        <v>2999</v>
      </c>
      <c r="B276" s="12" t="s">
        <v>2859</v>
      </c>
      <c r="C276" s="12" t="s">
        <v>296</v>
      </c>
    </row>
    <row r="277" spans="1:3">
      <c r="A277" s="5">
        <v>3000</v>
      </c>
      <c r="B277" s="5" t="s">
        <v>2860</v>
      </c>
      <c r="C277" s="5" t="s">
        <v>297</v>
      </c>
    </row>
    <row r="278" spans="1:3">
      <c r="A278" s="5">
        <v>3001</v>
      </c>
      <c r="B278" s="5" t="s">
        <v>2861</v>
      </c>
      <c r="C278" s="5" t="s">
        <v>298</v>
      </c>
    </row>
    <row r="279" spans="1:3">
      <c r="A279" s="5">
        <v>3011</v>
      </c>
      <c r="B279" s="5" t="s">
        <v>2862</v>
      </c>
      <c r="C279" s="5" t="s">
        <v>299</v>
      </c>
    </row>
    <row r="280" spans="1:3">
      <c r="A280" s="5">
        <v>3030</v>
      </c>
      <c r="B280" s="5" t="s">
        <v>2863</v>
      </c>
      <c r="C280" s="5" t="s">
        <v>300</v>
      </c>
    </row>
    <row r="281" spans="1:3">
      <c r="A281" s="5">
        <v>3031</v>
      </c>
      <c r="B281" s="5" t="s">
        <v>2864</v>
      </c>
      <c r="C281" s="5" t="s">
        <v>301</v>
      </c>
    </row>
    <row r="282" spans="1:3">
      <c r="A282" s="5">
        <v>3032</v>
      </c>
      <c r="B282" s="5" t="s">
        <v>2865</v>
      </c>
      <c r="C282" s="5" t="s">
        <v>302</v>
      </c>
    </row>
    <row r="283" spans="1:3">
      <c r="A283" s="5">
        <v>3034</v>
      </c>
      <c r="B283" s="5" t="s">
        <v>2866</v>
      </c>
      <c r="C283" s="5" t="s">
        <v>303</v>
      </c>
    </row>
    <row r="284" spans="1:3">
      <c r="A284" s="5">
        <v>3035</v>
      </c>
      <c r="B284" s="5" t="s">
        <v>2867</v>
      </c>
      <c r="C284" s="5" t="s">
        <v>304</v>
      </c>
    </row>
    <row r="285" spans="1:3">
      <c r="A285" s="5">
        <v>3050</v>
      </c>
      <c r="B285" s="5" t="s">
        <v>2868</v>
      </c>
      <c r="C285" s="5" t="s">
        <v>305</v>
      </c>
    </row>
    <row r="286" spans="1:3">
      <c r="A286" s="5">
        <v>3051</v>
      </c>
      <c r="B286" s="5" t="s">
        <v>2869</v>
      </c>
      <c r="C286" s="5" t="s">
        <v>306</v>
      </c>
    </row>
    <row r="287" spans="1:3">
      <c r="A287" s="5">
        <v>3052</v>
      </c>
      <c r="B287" s="5" t="s">
        <v>2870</v>
      </c>
      <c r="C287" s="5" t="s">
        <v>307</v>
      </c>
    </row>
    <row r="288" spans="1:3">
      <c r="A288" s="5">
        <v>3060</v>
      </c>
      <c r="B288" s="5" t="s">
        <v>2871</v>
      </c>
      <c r="C288" s="5" t="s">
        <v>308</v>
      </c>
    </row>
    <row r="289" spans="1:3">
      <c r="A289" s="5">
        <v>3061</v>
      </c>
      <c r="B289" s="5" t="s">
        <v>2872</v>
      </c>
      <c r="C289" s="5" t="s">
        <v>309</v>
      </c>
    </row>
    <row r="290" spans="1:3">
      <c r="A290" s="5">
        <v>3062</v>
      </c>
      <c r="B290" s="5" t="s">
        <v>2873</v>
      </c>
      <c r="C290" s="5" t="s">
        <v>310</v>
      </c>
    </row>
    <row r="291" spans="1:3">
      <c r="A291" s="5">
        <v>3063</v>
      </c>
      <c r="B291" s="5" t="s">
        <v>2874</v>
      </c>
      <c r="C291" s="5" t="s">
        <v>311</v>
      </c>
    </row>
    <row r="292" spans="1:3">
      <c r="A292" s="5">
        <v>3064</v>
      </c>
      <c r="B292" s="5" t="s">
        <v>2875</v>
      </c>
      <c r="C292" s="5" t="s">
        <v>312</v>
      </c>
    </row>
    <row r="293" spans="1:3">
      <c r="A293" s="5">
        <v>3070</v>
      </c>
      <c r="B293" s="5" t="s">
        <v>1689</v>
      </c>
      <c r="C293" s="5" t="s">
        <v>313</v>
      </c>
    </row>
    <row r="294" spans="1:3">
      <c r="A294" s="5">
        <v>3071</v>
      </c>
      <c r="B294" s="5" t="s">
        <v>2876</v>
      </c>
      <c r="C294" s="5" t="s">
        <v>314</v>
      </c>
    </row>
    <row r="295" spans="1:3">
      <c r="A295" s="5">
        <v>3074</v>
      </c>
      <c r="B295" s="5" t="s">
        <v>2877</v>
      </c>
      <c r="C295" s="5" t="s">
        <v>315</v>
      </c>
    </row>
    <row r="296" spans="1:3">
      <c r="A296" s="5">
        <v>3075</v>
      </c>
      <c r="B296" s="5" t="s">
        <v>2878</v>
      </c>
      <c r="C296" s="5" t="s">
        <v>316</v>
      </c>
    </row>
    <row r="297" spans="1:3">
      <c r="A297" s="5">
        <v>3076</v>
      </c>
      <c r="B297" s="5" t="s">
        <v>2879</v>
      </c>
      <c r="C297" s="5" t="s">
        <v>317</v>
      </c>
    </row>
    <row r="298" spans="1:3">
      <c r="A298" s="5">
        <v>3080</v>
      </c>
      <c r="B298" s="5" t="s">
        <v>2880</v>
      </c>
      <c r="C298" s="5" t="s">
        <v>318</v>
      </c>
    </row>
    <row r="299" spans="1:3">
      <c r="A299" s="5">
        <v>3091</v>
      </c>
      <c r="B299" s="5" t="s">
        <v>2881</v>
      </c>
      <c r="C299" s="5" t="s">
        <v>319</v>
      </c>
    </row>
    <row r="300" spans="1:3">
      <c r="A300" s="5">
        <v>3092</v>
      </c>
      <c r="B300" s="5" t="s">
        <v>2882</v>
      </c>
      <c r="C300" s="5" t="s">
        <v>320</v>
      </c>
    </row>
    <row r="301" spans="1:3">
      <c r="A301" s="5">
        <v>3093</v>
      </c>
      <c r="B301" s="5" t="s">
        <v>2883</v>
      </c>
      <c r="C301" s="5" t="s">
        <v>321</v>
      </c>
    </row>
    <row r="302" spans="1:3">
      <c r="A302" s="5">
        <v>3094</v>
      </c>
      <c r="B302" s="5" t="s">
        <v>2884</v>
      </c>
      <c r="C302" s="5" t="s">
        <v>322</v>
      </c>
    </row>
    <row r="303" spans="1:3">
      <c r="A303" s="5">
        <v>3095</v>
      </c>
      <c r="B303" s="5" t="s">
        <v>2885</v>
      </c>
      <c r="C303" s="5" t="s">
        <v>323</v>
      </c>
    </row>
    <row r="304" spans="1:3">
      <c r="A304" s="5">
        <v>3099</v>
      </c>
      <c r="B304" s="5" t="s">
        <v>2886</v>
      </c>
      <c r="C304" s="5" t="s">
        <v>324</v>
      </c>
    </row>
    <row r="305" spans="1:3">
      <c r="A305" s="5">
        <v>3150</v>
      </c>
      <c r="B305" s="5" t="s">
        <v>2887</v>
      </c>
      <c r="C305" s="5" t="s">
        <v>325</v>
      </c>
    </row>
    <row r="306" spans="1:3">
      <c r="A306" s="12">
        <v>3199</v>
      </c>
      <c r="B306" s="12" t="s">
        <v>2855</v>
      </c>
      <c r="C306" s="12" t="s">
        <v>326</v>
      </c>
    </row>
    <row r="307" spans="1:3">
      <c r="A307" s="5">
        <v>3200</v>
      </c>
      <c r="B307" s="5" t="s">
        <v>2888</v>
      </c>
      <c r="C307" s="5" t="s">
        <v>327</v>
      </c>
    </row>
    <row r="308" spans="1:3">
      <c r="A308" s="5">
        <v>3201</v>
      </c>
      <c r="B308" s="5" t="s">
        <v>2889</v>
      </c>
      <c r="C308" s="5" t="s">
        <v>328</v>
      </c>
    </row>
    <row r="309" spans="1:3">
      <c r="A309" s="5">
        <v>3220</v>
      </c>
      <c r="B309" s="5" t="s">
        <v>2890</v>
      </c>
      <c r="C309" s="5" t="s">
        <v>329</v>
      </c>
    </row>
    <row r="310" spans="1:3">
      <c r="A310" s="5">
        <v>3230</v>
      </c>
      <c r="B310" s="5" t="s">
        <v>2891</v>
      </c>
      <c r="C310" s="5" t="s">
        <v>330</v>
      </c>
    </row>
    <row r="311" spans="1:3">
      <c r="A311" s="5">
        <v>3250</v>
      </c>
      <c r="B311" s="5" t="s">
        <v>2892</v>
      </c>
      <c r="C311" s="5" t="s">
        <v>331</v>
      </c>
    </row>
    <row r="312" spans="1:3">
      <c r="A312" s="5">
        <v>3251</v>
      </c>
      <c r="B312" s="5" t="s">
        <v>2893</v>
      </c>
      <c r="C312" s="5" t="s">
        <v>332</v>
      </c>
    </row>
    <row r="313" spans="1:3">
      <c r="A313" s="5">
        <v>3252</v>
      </c>
      <c r="B313" s="5" t="s">
        <v>2894</v>
      </c>
      <c r="C313" s="5" t="s">
        <v>333</v>
      </c>
    </row>
    <row r="314" spans="1:3">
      <c r="A314" s="5">
        <v>3253</v>
      </c>
      <c r="B314" s="5" t="s">
        <v>2895</v>
      </c>
      <c r="C314" s="5" t="s">
        <v>334</v>
      </c>
    </row>
    <row r="315" spans="1:3">
      <c r="A315" s="5">
        <v>3255</v>
      </c>
      <c r="B315" s="5" t="s">
        <v>2896</v>
      </c>
      <c r="C315" s="5" t="s">
        <v>335</v>
      </c>
    </row>
    <row r="316" spans="1:3">
      <c r="A316" s="5">
        <v>3271</v>
      </c>
      <c r="B316" s="5" t="s">
        <v>2897</v>
      </c>
      <c r="C316" s="5" t="s">
        <v>336</v>
      </c>
    </row>
    <row r="317" spans="1:3">
      <c r="A317" s="5">
        <v>3290</v>
      </c>
      <c r="B317" s="5" t="s">
        <v>2898</v>
      </c>
      <c r="C317" s="5" t="s">
        <v>337</v>
      </c>
    </row>
    <row r="318" spans="1:3">
      <c r="A318" s="12">
        <v>3299</v>
      </c>
      <c r="B318" s="12" t="s">
        <v>2855</v>
      </c>
      <c r="C318" s="12" t="s">
        <v>338</v>
      </c>
    </row>
    <row r="319" spans="1:3">
      <c r="A319" s="5">
        <v>3500</v>
      </c>
      <c r="B319" s="5" t="s">
        <v>2899</v>
      </c>
      <c r="C319" s="5" t="s">
        <v>339</v>
      </c>
    </row>
    <row r="320" spans="1:3">
      <c r="A320" s="5">
        <v>3501</v>
      </c>
      <c r="B320" s="5" t="s">
        <v>2900</v>
      </c>
      <c r="C320" s="5" t="s">
        <v>340</v>
      </c>
    </row>
    <row r="321" spans="1:3">
      <c r="A321" s="5">
        <v>3550</v>
      </c>
      <c r="B321" s="5" t="s">
        <v>2901</v>
      </c>
      <c r="C321" s="5" t="s">
        <v>341</v>
      </c>
    </row>
    <row r="322" spans="1:3">
      <c r="A322" s="5">
        <v>3570</v>
      </c>
      <c r="B322" s="5" t="s">
        <v>2902</v>
      </c>
      <c r="C322" s="5" t="s">
        <v>342</v>
      </c>
    </row>
    <row r="323" spans="1:3">
      <c r="A323" s="5">
        <v>3599</v>
      </c>
      <c r="B323" s="5" t="s">
        <v>2903</v>
      </c>
      <c r="C323" s="5" t="s">
        <v>343</v>
      </c>
    </row>
    <row r="324" spans="1:3">
      <c r="A324" s="12">
        <v>3899</v>
      </c>
      <c r="B324" s="12" t="s">
        <v>2855</v>
      </c>
      <c r="C324" s="12" t="s">
        <v>344</v>
      </c>
    </row>
    <row r="325" spans="1:3">
      <c r="A325" s="5">
        <v>5002</v>
      </c>
      <c r="B325" s="5" t="s">
        <v>1690</v>
      </c>
      <c r="C325" s="5" t="s">
        <v>345</v>
      </c>
    </row>
    <row r="326" spans="1:3">
      <c r="A326" s="5">
        <v>5010</v>
      </c>
      <c r="B326" s="5" t="s">
        <v>2904</v>
      </c>
      <c r="C326" s="5" t="s">
        <v>346</v>
      </c>
    </row>
    <row r="327" spans="1:3">
      <c r="A327" s="5">
        <v>5011</v>
      </c>
      <c r="B327" s="5" t="s">
        <v>2905</v>
      </c>
      <c r="C327" s="5" t="s">
        <v>347</v>
      </c>
    </row>
    <row r="328" spans="1:3">
      <c r="A328" s="5">
        <v>5030</v>
      </c>
      <c r="B328" s="5" t="s">
        <v>2906</v>
      </c>
      <c r="C328" s="5" t="s">
        <v>348</v>
      </c>
    </row>
    <row r="329" spans="1:3">
      <c r="A329" s="5">
        <v>5050</v>
      </c>
      <c r="B329" s="5" t="s">
        <v>2907</v>
      </c>
      <c r="C329" s="5" t="s">
        <v>349</v>
      </c>
    </row>
    <row r="330" spans="1:3">
      <c r="A330" s="5">
        <v>5051</v>
      </c>
      <c r="B330" s="5" t="s">
        <v>2908</v>
      </c>
      <c r="C330" s="5" t="s">
        <v>350</v>
      </c>
    </row>
    <row r="331" spans="1:3">
      <c r="A331" s="5">
        <v>5070</v>
      </c>
      <c r="B331" s="5" t="s">
        <v>2909</v>
      </c>
      <c r="C331" s="5" t="s">
        <v>351</v>
      </c>
    </row>
    <row r="332" spans="1:3">
      <c r="A332" s="5">
        <v>5071</v>
      </c>
      <c r="B332" s="5" t="s">
        <v>2910</v>
      </c>
      <c r="C332" s="5" t="s">
        <v>352</v>
      </c>
    </row>
    <row r="333" spans="1:3">
      <c r="A333" s="5">
        <v>5072</v>
      </c>
      <c r="B333" s="5" t="s">
        <v>2911</v>
      </c>
      <c r="C333" s="5" t="s">
        <v>353</v>
      </c>
    </row>
    <row r="334" spans="1:3">
      <c r="A334" s="5">
        <v>5090</v>
      </c>
      <c r="B334" s="5" t="s">
        <v>2912</v>
      </c>
      <c r="C334" s="5" t="s">
        <v>354</v>
      </c>
    </row>
    <row r="335" spans="1:3">
      <c r="A335" s="5">
        <v>5091</v>
      </c>
      <c r="B335" s="5" t="s">
        <v>2913</v>
      </c>
      <c r="C335" s="5" t="s">
        <v>355</v>
      </c>
    </row>
    <row r="336" spans="1:3">
      <c r="A336" s="5">
        <v>5099</v>
      </c>
      <c r="B336" s="5" t="s">
        <v>2914</v>
      </c>
      <c r="C336" s="5" t="s">
        <v>356</v>
      </c>
    </row>
    <row r="337" spans="1:3">
      <c r="A337" s="5">
        <v>5101</v>
      </c>
      <c r="B337" s="5" t="s">
        <v>2915</v>
      </c>
      <c r="C337" s="5" t="s">
        <v>357</v>
      </c>
    </row>
    <row r="338" spans="1:3">
      <c r="A338" s="5">
        <v>5103</v>
      </c>
      <c r="B338" s="5" t="s">
        <v>2916</v>
      </c>
      <c r="C338" s="5" t="s">
        <v>358</v>
      </c>
    </row>
    <row r="339" spans="1:3">
      <c r="A339" s="5">
        <v>5104</v>
      </c>
      <c r="B339" s="5" t="s">
        <v>2917</v>
      </c>
      <c r="C339" s="5" t="s">
        <v>359</v>
      </c>
    </row>
    <row r="340" spans="1:3">
      <c r="A340" s="5">
        <v>5105</v>
      </c>
      <c r="B340" s="5" t="s">
        <v>2918</v>
      </c>
      <c r="C340" s="5" t="s">
        <v>360</v>
      </c>
    </row>
    <row r="341" spans="1:3">
      <c r="A341" s="5">
        <v>5106</v>
      </c>
      <c r="B341" s="5" t="s">
        <v>2919</v>
      </c>
      <c r="C341" s="5" t="s">
        <v>361</v>
      </c>
    </row>
    <row r="342" spans="1:3">
      <c r="A342" s="5">
        <v>5107</v>
      </c>
      <c r="B342" s="5" t="s">
        <v>2920</v>
      </c>
      <c r="C342" s="5" t="s">
        <v>362</v>
      </c>
    </row>
    <row r="343" spans="1:3">
      <c r="A343" s="5">
        <v>5110</v>
      </c>
      <c r="B343" s="5" t="s">
        <v>2921</v>
      </c>
      <c r="C343" s="5" t="s">
        <v>363</v>
      </c>
    </row>
    <row r="344" spans="1:3">
      <c r="A344" s="5">
        <v>5111</v>
      </c>
      <c r="B344" s="5" t="s">
        <v>2922</v>
      </c>
      <c r="C344" s="5" t="s">
        <v>364</v>
      </c>
    </row>
    <row r="345" spans="1:3">
      <c r="A345" s="5">
        <v>5112</v>
      </c>
      <c r="B345" s="5" t="s">
        <v>2923</v>
      </c>
      <c r="C345" s="5" t="s">
        <v>365</v>
      </c>
    </row>
    <row r="346" spans="1:3">
      <c r="A346" s="5">
        <v>5114</v>
      </c>
      <c r="B346" s="5" t="s">
        <v>2924</v>
      </c>
      <c r="C346" s="5" t="s">
        <v>366</v>
      </c>
    </row>
    <row r="347" spans="1:3">
      <c r="A347" s="5">
        <v>5125</v>
      </c>
      <c r="B347" s="5" t="s">
        <v>2925</v>
      </c>
      <c r="C347" s="5" t="s">
        <v>367</v>
      </c>
    </row>
    <row r="348" spans="1:3">
      <c r="A348" s="5">
        <v>5129</v>
      </c>
      <c r="B348" s="5" t="s">
        <v>2926</v>
      </c>
      <c r="C348" s="5" t="s">
        <v>368</v>
      </c>
    </row>
    <row r="349" spans="1:3">
      <c r="A349" s="5">
        <v>5130</v>
      </c>
      <c r="B349" s="5" t="s">
        <v>2927</v>
      </c>
      <c r="C349" s="5" t="s">
        <v>369</v>
      </c>
    </row>
    <row r="350" spans="1:3">
      <c r="A350" s="5">
        <v>5131</v>
      </c>
      <c r="B350" s="5" t="s">
        <v>2928</v>
      </c>
      <c r="C350" s="5" t="s">
        <v>370</v>
      </c>
    </row>
    <row r="351" spans="1:3">
      <c r="A351" s="5">
        <v>5132</v>
      </c>
      <c r="B351" s="5" t="s">
        <v>2929</v>
      </c>
      <c r="C351" s="5" t="s">
        <v>371</v>
      </c>
    </row>
    <row r="352" spans="1:3">
      <c r="A352" s="5">
        <v>5140</v>
      </c>
      <c r="B352" s="5" t="s">
        <v>2930</v>
      </c>
      <c r="C352" s="5" t="s">
        <v>372</v>
      </c>
    </row>
    <row r="353" spans="1:3">
      <c r="A353" s="5">
        <v>5150</v>
      </c>
      <c r="B353" s="5" t="s">
        <v>2931</v>
      </c>
      <c r="C353" s="5" t="s">
        <v>373</v>
      </c>
    </row>
    <row r="354" spans="1:3">
      <c r="A354" s="5">
        <v>5151</v>
      </c>
      <c r="B354" s="5" t="s">
        <v>2932</v>
      </c>
      <c r="C354" s="5" t="s">
        <v>374</v>
      </c>
    </row>
    <row r="355" spans="1:3">
      <c r="A355" s="5">
        <v>5152</v>
      </c>
      <c r="B355" s="5" t="s">
        <v>2933</v>
      </c>
      <c r="C355" s="5" t="s">
        <v>375</v>
      </c>
    </row>
    <row r="356" spans="1:3">
      <c r="A356" s="5">
        <v>5153</v>
      </c>
      <c r="B356" s="5" t="s">
        <v>2934</v>
      </c>
      <c r="C356" s="5" t="s">
        <v>376</v>
      </c>
    </row>
    <row r="357" spans="1:3">
      <c r="A357" s="5">
        <v>5154</v>
      </c>
      <c r="B357" s="5" t="s">
        <v>2935</v>
      </c>
      <c r="C357" s="5" t="s">
        <v>377</v>
      </c>
    </row>
    <row r="358" spans="1:3">
      <c r="A358" s="5">
        <v>5155</v>
      </c>
      <c r="B358" s="5" t="s">
        <v>2936</v>
      </c>
      <c r="C358" s="5" t="s">
        <v>378</v>
      </c>
    </row>
    <row r="359" spans="1:3">
      <c r="A359" s="5">
        <v>5156</v>
      </c>
      <c r="B359" s="5" t="s">
        <v>2937</v>
      </c>
      <c r="C359" s="5" t="s">
        <v>379</v>
      </c>
    </row>
    <row r="360" spans="1:3">
      <c r="A360" s="5">
        <v>5157</v>
      </c>
      <c r="B360" s="5" t="s">
        <v>2938</v>
      </c>
      <c r="C360" s="5" t="s">
        <v>380</v>
      </c>
    </row>
    <row r="361" spans="1:3">
      <c r="A361" s="5">
        <v>5158</v>
      </c>
      <c r="B361" s="5" t="s">
        <v>2939</v>
      </c>
      <c r="C361" s="5" t="s">
        <v>381</v>
      </c>
    </row>
    <row r="362" spans="1:3">
      <c r="A362" s="5">
        <v>5159</v>
      </c>
      <c r="B362" s="5" t="s">
        <v>2940</v>
      </c>
      <c r="C362" s="5" t="s">
        <v>382</v>
      </c>
    </row>
    <row r="363" spans="1:3">
      <c r="A363" s="5">
        <v>5160</v>
      </c>
      <c r="B363" s="5" t="s">
        <v>2941</v>
      </c>
      <c r="C363" s="5" t="s">
        <v>383</v>
      </c>
    </row>
    <row r="364" spans="1:3">
      <c r="A364" s="5">
        <v>5161</v>
      </c>
      <c r="B364" s="5" t="s">
        <v>2942</v>
      </c>
      <c r="C364" s="5" t="s">
        <v>384</v>
      </c>
    </row>
    <row r="365" spans="1:3">
      <c r="A365" s="5">
        <v>5162</v>
      </c>
      <c r="B365" s="5" t="s">
        <v>2943</v>
      </c>
      <c r="C365" s="5" t="s">
        <v>385</v>
      </c>
    </row>
    <row r="366" spans="1:3">
      <c r="A366" s="5">
        <v>5163</v>
      </c>
      <c r="B366" s="5" t="s">
        <v>2944</v>
      </c>
      <c r="C366" s="5" t="s">
        <v>386</v>
      </c>
    </row>
    <row r="367" spans="1:3">
      <c r="A367" s="5">
        <v>5164</v>
      </c>
      <c r="B367" s="5" t="s">
        <v>2945</v>
      </c>
      <c r="C367" s="5" t="s">
        <v>387</v>
      </c>
    </row>
    <row r="368" spans="1:3">
      <c r="A368" s="5">
        <v>5165</v>
      </c>
      <c r="B368" s="5" t="s">
        <v>2946</v>
      </c>
      <c r="C368" s="5" t="s">
        <v>388</v>
      </c>
    </row>
    <row r="369" spans="1:3">
      <c r="A369" s="5">
        <v>5166</v>
      </c>
      <c r="B369" s="5" t="s">
        <v>2947</v>
      </c>
      <c r="C369" s="5" t="s">
        <v>389</v>
      </c>
    </row>
    <row r="370" spans="1:3">
      <c r="A370" s="5">
        <v>5167</v>
      </c>
      <c r="B370" s="5" t="s">
        <v>2948</v>
      </c>
      <c r="C370" s="5" t="s">
        <v>390</v>
      </c>
    </row>
    <row r="371" spans="1:3">
      <c r="A371" s="5">
        <v>5171</v>
      </c>
      <c r="B371" s="5" t="s">
        <v>2949</v>
      </c>
      <c r="C371" s="5" t="s">
        <v>391</v>
      </c>
    </row>
    <row r="372" spans="1:3">
      <c r="A372" s="5">
        <v>5172</v>
      </c>
      <c r="B372" s="5" t="s">
        <v>2950</v>
      </c>
      <c r="C372" s="5" t="s">
        <v>392</v>
      </c>
    </row>
    <row r="373" spans="1:3">
      <c r="A373" s="5">
        <v>5173</v>
      </c>
      <c r="B373" s="5" t="s">
        <v>2951</v>
      </c>
      <c r="C373" s="5" t="s">
        <v>393</v>
      </c>
    </row>
    <row r="374" spans="1:3">
      <c r="A374" s="5">
        <v>5175</v>
      </c>
      <c r="B374" s="5" t="s">
        <v>2952</v>
      </c>
      <c r="C374" s="5" t="s">
        <v>394</v>
      </c>
    </row>
    <row r="375" spans="1:3">
      <c r="A375" s="5">
        <v>5176</v>
      </c>
      <c r="B375" s="5" t="s">
        <v>2953</v>
      </c>
      <c r="C375" s="5" t="s">
        <v>395</v>
      </c>
    </row>
    <row r="376" spans="1:3">
      <c r="A376" s="5">
        <v>5177</v>
      </c>
      <c r="B376" s="5" t="s">
        <v>2954</v>
      </c>
      <c r="C376" s="5" t="s">
        <v>396</v>
      </c>
    </row>
    <row r="377" spans="1:3">
      <c r="A377" s="5">
        <v>5178</v>
      </c>
      <c r="B377" s="5" t="s">
        <v>2955</v>
      </c>
      <c r="C377" s="5" t="s">
        <v>397</v>
      </c>
    </row>
    <row r="378" spans="1:3">
      <c r="A378" s="5">
        <v>5179</v>
      </c>
      <c r="B378" s="5" t="s">
        <v>2956</v>
      </c>
      <c r="C378" s="5" t="s">
        <v>398</v>
      </c>
    </row>
    <row r="379" spans="1:3">
      <c r="A379" s="5">
        <v>5180</v>
      </c>
      <c r="B379" s="5" t="s">
        <v>2957</v>
      </c>
      <c r="C379" s="5" t="s">
        <v>399</v>
      </c>
    </row>
    <row r="380" spans="1:3">
      <c r="A380" s="5">
        <v>5181</v>
      </c>
      <c r="B380" s="5" t="s">
        <v>1691</v>
      </c>
      <c r="C380" s="5" t="s">
        <v>400</v>
      </c>
    </row>
    <row r="381" spans="1:3">
      <c r="A381" s="5">
        <v>5190</v>
      </c>
      <c r="B381" s="5" t="s">
        <v>2958</v>
      </c>
      <c r="C381" s="5" t="s">
        <v>401</v>
      </c>
    </row>
    <row r="382" spans="1:3">
      <c r="A382" s="5">
        <v>5191</v>
      </c>
      <c r="B382" s="5" t="s">
        <v>2959</v>
      </c>
      <c r="C382" s="5" t="s">
        <v>402</v>
      </c>
    </row>
    <row r="383" spans="1:3">
      <c r="A383" s="5">
        <v>5192</v>
      </c>
      <c r="B383" s="5" t="s">
        <v>2960</v>
      </c>
      <c r="C383" s="5" t="s">
        <v>403</v>
      </c>
    </row>
    <row r="384" spans="1:3">
      <c r="A384" s="5">
        <v>5193</v>
      </c>
      <c r="B384" s="5" t="s">
        <v>2961</v>
      </c>
      <c r="C384" s="5" t="s">
        <v>404</v>
      </c>
    </row>
    <row r="385" spans="1:3">
      <c r="A385" s="5">
        <v>5195</v>
      </c>
      <c r="B385" s="5" t="s">
        <v>2962</v>
      </c>
      <c r="C385" s="5" t="s">
        <v>405</v>
      </c>
    </row>
    <row r="386" spans="1:3">
      <c r="A386" s="5">
        <v>5250</v>
      </c>
      <c r="B386" s="5" t="s">
        <v>2963</v>
      </c>
      <c r="C386" s="5" t="s">
        <v>406</v>
      </c>
    </row>
    <row r="387" spans="1:3">
      <c r="A387" s="5">
        <v>5260</v>
      </c>
      <c r="B387" s="5" t="s">
        <v>2964</v>
      </c>
      <c r="C387" s="5" t="s">
        <v>407</v>
      </c>
    </row>
    <row r="388" spans="1:3">
      <c r="A388" s="5">
        <v>5290</v>
      </c>
      <c r="B388" s="5" t="s">
        <v>2965</v>
      </c>
      <c r="C388" s="5" t="s">
        <v>408</v>
      </c>
    </row>
    <row r="389" spans="1:3">
      <c r="A389" s="5">
        <v>5300</v>
      </c>
      <c r="B389" s="5" t="s">
        <v>2966</v>
      </c>
      <c r="C389" s="5" t="s">
        <v>409</v>
      </c>
    </row>
    <row r="390" spans="1:3">
      <c r="A390" s="5">
        <v>5310</v>
      </c>
      <c r="B390" s="5" t="s">
        <v>2967</v>
      </c>
      <c r="C390" s="5" t="s">
        <v>410</v>
      </c>
    </row>
    <row r="391" spans="1:3">
      <c r="A391" s="5">
        <v>5311</v>
      </c>
      <c r="B391" s="5" t="s">
        <v>2968</v>
      </c>
      <c r="C391" s="5" t="s">
        <v>411</v>
      </c>
    </row>
    <row r="392" spans="1:3">
      <c r="A392" s="5">
        <v>5340</v>
      </c>
      <c r="B392" s="5" t="s">
        <v>2969</v>
      </c>
      <c r="C392" s="5" t="s">
        <v>412</v>
      </c>
    </row>
    <row r="393" spans="1:3">
      <c r="A393" s="5">
        <v>5370</v>
      </c>
      <c r="B393" s="5" t="s">
        <v>2970</v>
      </c>
      <c r="C393" s="5" t="s">
        <v>413</v>
      </c>
    </row>
    <row r="394" spans="1:3">
      <c r="A394" s="5">
        <v>5371</v>
      </c>
      <c r="B394" s="5" t="s">
        <v>2971</v>
      </c>
      <c r="C394" s="5" t="s">
        <v>414</v>
      </c>
    </row>
    <row r="395" spans="1:3">
      <c r="A395" s="5">
        <v>5390</v>
      </c>
      <c r="B395" s="5" t="s">
        <v>2972</v>
      </c>
      <c r="C395" s="5" t="s">
        <v>415</v>
      </c>
    </row>
    <row r="396" spans="1:3">
      <c r="A396" s="5">
        <v>5400</v>
      </c>
      <c r="B396" s="5" t="s">
        <v>2973</v>
      </c>
      <c r="C396" s="5" t="s">
        <v>416</v>
      </c>
    </row>
    <row r="397" spans="1:3">
      <c r="A397" s="5">
        <v>5410</v>
      </c>
      <c r="B397" s="5" t="s">
        <v>2974</v>
      </c>
      <c r="C397" s="5" t="s">
        <v>417</v>
      </c>
    </row>
    <row r="398" spans="1:3">
      <c r="A398" s="5">
        <v>5450</v>
      </c>
      <c r="B398" s="5" t="s">
        <v>2975</v>
      </c>
      <c r="C398" s="5" t="s">
        <v>418</v>
      </c>
    </row>
    <row r="399" spans="1:3">
      <c r="A399" s="5">
        <v>5451</v>
      </c>
      <c r="B399" s="5" t="s">
        <v>2976</v>
      </c>
      <c r="C399" s="5" t="s">
        <v>419</v>
      </c>
    </row>
    <row r="400" spans="1:3">
      <c r="A400" s="5">
        <v>5452</v>
      </c>
      <c r="B400" s="5" t="s">
        <v>2977</v>
      </c>
      <c r="C400" s="5" t="s">
        <v>420</v>
      </c>
    </row>
    <row r="401" spans="1:3">
      <c r="A401" s="5">
        <v>5453</v>
      </c>
      <c r="B401" s="5" t="s">
        <v>2978</v>
      </c>
      <c r="C401" s="5" t="s">
        <v>421</v>
      </c>
    </row>
    <row r="402" spans="1:3">
      <c r="A402" s="5">
        <v>5454</v>
      </c>
      <c r="B402" s="5" t="s">
        <v>2979</v>
      </c>
      <c r="C402" s="5" t="s">
        <v>422</v>
      </c>
    </row>
    <row r="403" spans="1:3">
      <c r="A403" s="5">
        <v>5459</v>
      </c>
      <c r="B403" s="5" t="s">
        <v>2980</v>
      </c>
      <c r="C403" s="5" t="s">
        <v>423</v>
      </c>
    </row>
    <row r="404" spans="1:3">
      <c r="A404" s="5">
        <v>5461</v>
      </c>
      <c r="B404" s="5" t="s">
        <v>1692</v>
      </c>
      <c r="C404" s="5" t="s">
        <v>424</v>
      </c>
    </row>
    <row r="405" spans="1:3">
      <c r="A405" s="5">
        <v>5469</v>
      </c>
      <c r="B405" s="5" t="s">
        <v>2981</v>
      </c>
      <c r="C405" s="5" t="s">
        <v>425</v>
      </c>
    </row>
    <row r="406" spans="1:3">
      <c r="A406" s="5">
        <v>5470</v>
      </c>
      <c r="B406" s="5" t="s">
        <v>2982</v>
      </c>
      <c r="C406" s="5" t="s">
        <v>426</v>
      </c>
    </row>
    <row r="407" spans="1:3">
      <c r="A407" s="5">
        <v>5471</v>
      </c>
      <c r="B407" s="5" t="s">
        <v>2983</v>
      </c>
      <c r="C407" s="5" t="s">
        <v>427</v>
      </c>
    </row>
    <row r="408" spans="1:3">
      <c r="A408" s="5">
        <v>5472</v>
      </c>
      <c r="B408" s="5" t="s">
        <v>2984</v>
      </c>
      <c r="C408" s="5" t="s">
        <v>428</v>
      </c>
    </row>
    <row r="409" spans="1:3">
      <c r="A409" s="5">
        <v>5473</v>
      </c>
      <c r="B409" s="5" t="s">
        <v>2985</v>
      </c>
      <c r="C409" s="5" t="s">
        <v>429</v>
      </c>
    </row>
    <row r="410" spans="1:3">
      <c r="A410" s="5">
        <v>5490</v>
      </c>
      <c r="B410" s="5" t="s">
        <v>2986</v>
      </c>
      <c r="C410" s="5" t="s">
        <v>430</v>
      </c>
    </row>
    <row r="411" spans="1:3">
      <c r="A411" s="5">
        <v>5500</v>
      </c>
      <c r="B411" s="5" t="s">
        <v>2987</v>
      </c>
      <c r="C411" s="5" t="s">
        <v>431</v>
      </c>
    </row>
    <row r="412" spans="1:3">
      <c r="A412" s="5">
        <v>5501</v>
      </c>
      <c r="B412" s="5" t="s">
        <v>2988</v>
      </c>
      <c r="C412" s="5" t="s">
        <v>432</v>
      </c>
    </row>
    <row r="413" spans="1:3">
      <c r="A413" s="5">
        <v>5510</v>
      </c>
      <c r="B413" s="5" t="s">
        <v>2989</v>
      </c>
      <c r="C413" s="5" t="s">
        <v>433</v>
      </c>
    </row>
    <row r="414" spans="1:3">
      <c r="A414" s="5">
        <v>5550</v>
      </c>
      <c r="B414" s="5" t="s">
        <v>2990</v>
      </c>
      <c r="C414" s="5" t="s">
        <v>434</v>
      </c>
    </row>
    <row r="415" spans="1:3">
      <c r="A415" s="5">
        <v>5551</v>
      </c>
      <c r="B415" s="5" t="s">
        <v>2991</v>
      </c>
      <c r="C415" s="5" t="s">
        <v>435</v>
      </c>
    </row>
    <row r="416" spans="1:3">
      <c r="A416" s="5">
        <v>5552</v>
      </c>
      <c r="B416" s="5" t="s">
        <v>2992</v>
      </c>
      <c r="C416" s="5" t="s">
        <v>436</v>
      </c>
    </row>
    <row r="417" spans="1:3">
      <c r="A417" s="5">
        <v>5553</v>
      </c>
      <c r="B417" s="5" t="s">
        <v>2993</v>
      </c>
      <c r="C417" s="5" t="s">
        <v>437</v>
      </c>
    </row>
    <row r="418" spans="1:3">
      <c r="A418" s="5">
        <v>5570</v>
      </c>
      <c r="B418" s="5" t="s">
        <v>2994</v>
      </c>
      <c r="C418" s="5" t="s">
        <v>438</v>
      </c>
    </row>
    <row r="419" spans="1:3">
      <c r="A419" s="5">
        <v>5571</v>
      </c>
      <c r="B419" s="5" t="s">
        <v>2995</v>
      </c>
      <c r="C419" s="5" t="s">
        <v>439</v>
      </c>
    </row>
    <row r="420" spans="1:3">
      <c r="A420" s="5">
        <v>5590</v>
      </c>
      <c r="B420" s="5" t="s">
        <v>2996</v>
      </c>
      <c r="C420" s="5" t="s">
        <v>440</v>
      </c>
    </row>
    <row r="421" spans="1:3">
      <c r="A421" s="5">
        <v>5591</v>
      </c>
      <c r="B421" s="5" t="s">
        <v>2997</v>
      </c>
      <c r="C421" s="5" t="s">
        <v>441</v>
      </c>
    </row>
    <row r="422" spans="1:3">
      <c r="A422" s="5">
        <v>5600</v>
      </c>
      <c r="B422" s="5" t="s">
        <v>2998</v>
      </c>
      <c r="C422" s="5" t="s">
        <v>442</v>
      </c>
    </row>
    <row r="423" spans="1:3">
      <c r="A423" s="5">
        <v>5999</v>
      </c>
      <c r="B423" s="5" t="s">
        <v>2999</v>
      </c>
      <c r="C423" s="5" t="s">
        <v>443</v>
      </c>
    </row>
    <row r="424" spans="1:3">
      <c r="A424" s="5">
        <v>6100</v>
      </c>
      <c r="B424" s="5" t="s">
        <v>3000</v>
      </c>
      <c r="C424" s="5" t="s">
        <v>444</v>
      </c>
    </row>
    <row r="425" spans="1:3">
      <c r="A425" s="5">
        <v>6101</v>
      </c>
      <c r="B425" s="5" t="s">
        <v>3001</v>
      </c>
      <c r="C425" s="5" t="s">
        <v>445</v>
      </c>
    </row>
    <row r="426" spans="1:3">
      <c r="A426" s="5">
        <v>6110</v>
      </c>
      <c r="B426" s="5" t="s">
        <v>3002</v>
      </c>
      <c r="C426" s="5" t="s">
        <v>446</v>
      </c>
    </row>
    <row r="427" spans="1:3">
      <c r="A427" s="5">
        <v>6130</v>
      </c>
      <c r="B427" s="5" t="s">
        <v>3003</v>
      </c>
      <c r="C427" s="5" t="s">
        <v>447</v>
      </c>
    </row>
    <row r="428" spans="1:3">
      <c r="A428" s="5">
        <v>6150</v>
      </c>
      <c r="B428" s="5" t="s">
        <v>3004</v>
      </c>
      <c r="C428" s="5" t="s">
        <v>448</v>
      </c>
    </row>
    <row r="429" spans="1:3">
      <c r="A429" s="5">
        <v>6151</v>
      </c>
      <c r="B429" s="5" t="s">
        <v>3005</v>
      </c>
      <c r="C429" s="5" t="s">
        <v>449</v>
      </c>
    </row>
    <row r="430" spans="1:3">
      <c r="A430" s="5">
        <v>6152</v>
      </c>
      <c r="B430" s="5" t="s">
        <v>3006</v>
      </c>
      <c r="C430" s="5" t="s">
        <v>450</v>
      </c>
    </row>
    <row r="431" spans="1:3">
      <c r="A431" s="5">
        <v>6153</v>
      </c>
      <c r="B431" s="5" t="s">
        <v>3007</v>
      </c>
      <c r="C431" s="5" t="s">
        <v>451</v>
      </c>
    </row>
    <row r="432" spans="1:3">
      <c r="A432" s="5">
        <v>6154</v>
      </c>
      <c r="B432" s="5" t="s">
        <v>3008</v>
      </c>
      <c r="C432" s="5" t="s">
        <v>452</v>
      </c>
    </row>
    <row r="433" spans="1:3">
      <c r="A433" s="5">
        <v>6160</v>
      </c>
      <c r="B433" s="5" t="s">
        <v>3009</v>
      </c>
      <c r="C433" s="5" t="s">
        <v>453</v>
      </c>
    </row>
    <row r="434" spans="1:3">
      <c r="A434" s="12">
        <v>6166</v>
      </c>
      <c r="B434" s="12" t="s">
        <v>2934</v>
      </c>
      <c r="C434" s="12" t="s">
        <v>454</v>
      </c>
    </row>
    <row r="435" spans="1:3">
      <c r="A435" s="5">
        <v>6170</v>
      </c>
      <c r="B435" s="5" t="s">
        <v>3010</v>
      </c>
      <c r="C435" s="5" t="s">
        <v>455</v>
      </c>
    </row>
    <row r="436" spans="1:3">
      <c r="A436" s="5">
        <v>6171</v>
      </c>
      <c r="B436" s="5" t="s">
        <v>3011</v>
      </c>
      <c r="C436" s="5" t="s">
        <v>456</v>
      </c>
    </row>
    <row r="437" spans="1:3">
      <c r="A437" s="5">
        <v>6172</v>
      </c>
      <c r="B437" s="5" t="s">
        <v>3012</v>
      </c>
      <c r="C437" s="5" t="s">
        <v>457</v>
      </c>
    </row>
    <row r="438" spans="1:3">
      <c r="A438" s="5">
        <v>6173</v>
      </c>
      <c r="B438" s="5" t="s">
        <v>3013</v>
      </c>
      <c r="C438" s="5" t="s">
        <v>458</v>
      </c>
    </row>
    <row r="439" spans="1:3">
      <c r="A439" s="5">
        <v>6190</v>
      </c>
      <c r="B439" s="5" t="s">
        <v>3014</v>
      </c>
      <c r="C439" s="5" t="s">
        <v>459</v>
      </c>
    </row>
    <row r="440" spans="1:3">
      <c r="A440" s="5">
        <v>6270</v>
      </c>
      <c r="B440" s="5" t="s">
        <v>3015</v>
      </c>
      <c r="C440" s="5" t="s">
        <v>460</v>
      </c>
    </row>
    <row r="441" spans="1:3">
      <c r="A441" s="5">
        <v>6290</v>
      </c>
      <c r="B441" s="5" t="s">
        <v>3016</v>
      </c>
      <c r="C441" s="5" t="s">
        <v>461</v>
      </c>
    </row>
    <row r="442" spans="1:3">
      <c r="A442" s="5">
        <v>6299</v>
      </c>
      <c r="B442" s="5" t="s">
        <v>3017</v>
      </c>
      <c r="C442" s="5" t="s">
        <v>462</v>
      </c>
    </row>
    <row r="443" spans="1:3">
      <c r="A443" s="5">
        <v>6399</v>
      </c>
      <c r="B443" s="5" t="s">
        <v>3018</v>
      </c>
      <c r="C443" s="5" t="s">
        <v>463</v>
      </c>
    </row>
    <row r="444" spans="1:3">
      <c r="A444" s="5">
        <v>6510</v>
      </c>
      <c r="B444" s="5" t="s">
        <v>3019</v>
      </c>
      <c r="C444" s="5" t="s">
        <v>464</v>
      </c>
    </row>
    <row r="445" spans="1:3">
      <c r="A445" s="5">
        <v>6550</v>
      </c>
      <c r="B445" s="5" t="s">
        <v>3020</v>
      </c>
      <c r="C445" s="5" t="s">
        <v>465</v>
      </c>
    </row>
    <row r="446" spans="1:3">
      <c r="A446" s="5">
        <v>6599</v>
      </c>
      <c r="B446" s="5" t="s">
        <v>3021</v>
      </c>
      <c r="C446" s="5" t="s">
        <v>466</v>
      </c>
    </row>
    <row r="447" spans="1:3">
      <c r="A447" s="5">
        <v>6600</v>
      </c>
      <c r="B447" s="5" t="s">
        <v>3022</v>
      </c>
      <c r="C447" s="5" t="s">
        <v>467</v>
      </c>
    </row>
    <row r="448" spans="1:3">
      <c r="A448" s="5">
        <v>6601</v>
      </c>
      <c r="B448" s="5" t="s">
        <v>3023</v>
      </c>
      <c r="C448" s="5" t="s">
        <v>468</v>
      </c>
    </row>
    <row r="449" spans="1:3">
      <c r="A449" s="5">
        <v>6612</v>
      </c>
      <c r="B449" s="5" t="s">
        <v>3024</v>
      </c>
      <c r="C449" s="5" t="s">
        <v>469</v>
      </c>
    </row>
    <row r="450" spans="1:3">
      <c r="A450" s="5">
        <v>6614</v>
      </c>
      <c r="B450" s="5" t="s">
        <v>3025</v>
      </c>
      <c r="C450" s="5" t="s">
        <v>470</v>
      </c>
    </row>
    <row r="451" spans="1:3">
      <c r="A451" s="5">
        <v>6640</v>
      </c>
      <c r="B451" s="5" t="s">
        <v>3026</v>
      </c>
      <c r="C451" s="5" t="s">
        <v>471</v>
      </c>
    </row>
    <row r="452" spans="1:3">
      <c r="A452" s="5">
        <v>6650</v>
      </c>
      <c r="B452" s="5" t="s">
        <v>3027</v>
      </c>
      <c r="C452" s="5" t="s">
        <v>472</v>
      </c>
    </row>
    <row r="453" spans="1:3">
      <c r="A453" s="5">
        <v>6651</v>
      </c>
      <c r="B453" s="5" t="s">
        <v>3028</v>
      </c>
      <c r="C453" s="5" t="s">
        <v>473</v>
      </c>
    </row>
    <row r="454" spans="1:3">
      <c r="A454" s="5">
        <v>6652</v>
      </c>
      <c r="B454" s="5" t="s">
        <v>3029</v>
      </c>
      <c r="C454" s="5" t="s">
        <v>474</v>
      </c>
    </row>
    <row r="455" spans="1:3">
      <c r="A455" s="5">
        <v>6653</v>
      </c>
      <c r="B455" s="5" t="s">
        <v>3030</v>
      </c>
      <c r="C455" s="5" t="s">
        <v>475</v>
      </c>
    </row>
    <row r="456" spans="1:3">
      <c r="A456" s="5">
        <v>6654</v>
      </c>
      <c r="B456" s="5" t="s">
        <v>3031</v>
      </c>
      <c r="C456" s="5" t="s">
        <v>476</v>
      </c>
    </row>
    <row r="457" spans="1:3">
      <c r="A457" s="5">
        <v>6655</v>
      </c>
      <c r="B457" s="5" t="s">
        <v>3032</v>
      </c>
      <c r="C457" s="5" t="s">
        <v>477</v>
      </c>
    </row>
    <row r="458" spans="1:3">
      <c r="A458" s="5">
        <v>6656</v>
      </c>
      <c r="B458" s="5" t="s">
        <v>3033</v>
      </c>
      <c r="C458" s="5" t="s">
        <v>478</v>
      </c>
    </row>
    <row r="459" spans="1:3">
      <c r="A459" s="5">
        <v>6657</v>
      </c>
      <c r="B459" s="5" t="s">
        <v>3034</v>
      </c>
      <c r="C459" s="5" t="s">
        <v>479</v>
      </c>
    </row>
    <row r="460" spans="1:3">
      <c r="A460" s="5">
        <v>6658</v>
      </c>
      <c r="B460" s="5" t="s">
        <v>3035</v>
      </c>
      <c r="C460" s="5" t="s">
        <v>480</v>
      </c>
    </row>
    <row r="461" spans="1:3">
      <c r="A461" s="5">
        <v>6659</v>
      </c>
      <c r="B461" s="5" t="s">
        <v>3036</v>
      </c>
      <c r="C461" s="5" t="s">
        <v>481</v>
      </c>
    </row>
    <row r="462" spans="1:3">
      <c r="A462" s="5">
        <v>6660</v>
      </c>
      <c r="B462" s="5" t="s">
        <v>3037</v>
      </c>
      <c r="C462" s="5" t="s">
        <v>482</v>
      </c>
    </row>
    <row r="463" spans="1:3">
      <c r="A463" s="5">
        <v>6661</v>
      </c>
      <c r="B463" s="5" t="s">
        <v>3038</v>
      </c>
      <c r="C463" s="5" t="s">
        <v>483</v>
      </c>
    </row>
    <row r="464" spans="1:3">
      <c r="A464" s="5">
        <v>6662</v>
      </c>
      <c r="B464" s="5" t="s">
        <v>3039</v>
      </c>
      <c r="C464" s="5" t="s">
        <v>484</v>
      </c>
    </row>
    <row r="465" spans="1:3">
      <c r="A465" s="5">
        <v>6663</v>
      </c>
      <c r="B465" s="5" t="s">
        <v>3040</v>
      </c>
      <c r="C465" s="5" t="s">
        <v>485</v>
      </c>
    </row>
    <row r="466" spans="1:3">
      <c r="A466" s="5">
        <v>6664</v>
      </c>
      <c r="B466" s="5" t="s">
        <v>3041</v>
      </c>
      <c r="C466" s="5" t="s">
        <v>486</v>
      </c>
    </row>
    <row r="467" spans="1:3">
      <c r="A467" s="5">
        <v>6665</v>
      </c>
      <c r="B467" s="5" t="s">
        <v>3042</v>
      </c>
      <c r="C467" s="5" t="s">
        <v>487</v>
      </c>
    </row>
    <row r="468" spans="1:3">
      <c r="A468" s="5">
        <v>6666</v>
      </c>
      <c r="B468" s="5" t="s">
        <v>3043</v>
      </c>
      <c r="C468" s="5" t="s">
        <v>488</v>
      </c>
    </row>
    <row r="469" spans="1:3">
      <c r="A469" s="5">
        <v>6667</v>
      </c>
      <c r="B469" s="5" t="s">
        <v>3044</v>
      </c>
      <c r="C469" s="5" t="s">
        <v>489</v>
      </c>
    </row>
    <row r="470" spans="1:3">
      <c r="A470" s="5">
        <v>6668</v>
      </c>
      <c r="B470" s="5" t="s">
        <v>3045</v>
      </c>
      <c r="C470" s="5" t="s">
        <v>490</v>
      </c>
    </row>
    <row r="471" spans="1:3">
      <c r="A471" s="12">
        <v>6669</v>
      </c>
      <c r="B471" s="12" t="s">
        <v>3046</v>
      </c>
      <c r="C471" s="12" t="s">
        <v>491</v>
      </c>
    </row>
    <row r="472" spans="1:3">
      <c r="A472" s="5">
        <v>6670</v>
      </c>
      <c r="B472" s="5" t="s">
        <v>3047</v>
      </c>
      <c r="C472" s="5" t="s">
        <v>492</v>
      </c>
    </row>
    <row r="473" spans="1:3">
      <c r="A473" s="5">
        <v>6674</v>
      </c>
      <c r="B473" s="5" t="s">
        <v>3048</v>
      </c>
      <c r="C473" s="5" t="s">
        <v>493</v>
      </c>
    </row>
    <row r="474" spans="1:3">
      <c r="A474" s="5">
        <v>6675</v>
      </c>
      <c r="B474" s="5" t="s">
        <v>3049</v>
      </c>
      <c r="C474" s="5" t="s">
        <v>494</v>
      </c>
    </row>
    <row r="475" spans="1:3">
      <c r="A475" s="5">
        <v>6676</v>
      </c>
      <c r="B475" s="5" t="s">
        <v>3050</v>
      </c>
      <c r="C475" s="5" t="s">
        <v>495</v>
      </c>
    </row>
    <row r="476" spans="1:3">
      <c r="A476" s="5">
        <v>6678</v>
      </c>
      <c r="B476" s="5" t="s">
        <v>3051</v>
      </c>
      <c r="C476" s="5" t="s">
        <v>496</v>
      </c>
    </row>
    <row r="477" spans="1:3">
      <c r="A477" s="5">
        <v>6680</v>
      </c>
      <c r="B477" s="5" t="s">
        <v>3052</v>
      </c>
      <c r="C477" s="5" t="s">
        <v>497</v>
      </c>
    </row>
    <row r="478" spans="1:3">
      <c r="A478" s="5">
        <v>6682</v>
      </c>
      <c r="B478" s="5" t="s">
        <v>3053</v>
      </c>
      <c r="C478" s="5" t="s">
        <v>498</v>
      </c>
    </row>
    <row r="479" spans="1:3">
      <c r="A479" s="5">
        <v>6690</v>
      </c>
      <c r="B479" s="5" t="s">
        <v>3054</v>
      </c>
      <c r="C479" s="5" t="s">
        <v>499</v>
      </c>
    </row>
    <row r="480" spans="1:3">
      <c r="A480" s="5">
        <v>6691</v>
      </c>
      <c r="B480" s="5" t="s">
        <v>3055</v>
      </c>
      <c r="C480" s="5" t="s">
        <v>500</v>
      </c>
    </row>
    <row r="481" spans="1:3">
      <c r="A481" s="5">
        <v>6692</v>
      </c>
      <c r="B481" s="5" t="s">
        <v>3056</v>
      </c>
      <c r="C481" s="5" t="s">
        <v>501</v>
      </c>
    </row>
    <row r="482" spans="1:3">
      <c r="A482" s="5">
        <v>6693</v>
      </c>
      <c r="B482" s="5" t="s">
        <v>3057</v>
      </c>
      <c r="C482" s="5" t="s">
        <v>502</v>
      </c>
    </row>
    <row r="483" spans="1:3">
      <c r="A483" s="5">
        <v>6694</v>
      </c>
      <c r="B483" s="5" t="s">
        <v>3058</v>
      </c>
      <c r="C483" s="5" t="s">
        <v>503</v>
      </c>
    </row>
    <row r="484" spans="1:3">
      <c r="A484" s="5">
        <v>6695</v>
      </c>
      <c r="B484" s="5" t="s">
        <v>3059</v>
      </c>
      <c r="C484" s="5" t="s">
        <v>504</v>
      </c>
    </row>
    <row r="485" spans="1:3">
      <c r="A485" s="5">
        <v>6699</v>
      </c>
      <c r="B485" s="5" t="s">
        <v>2855</v>
      </c>
      <c r="C485" s="5" t="s">
        <v>505</v>
      </c>
    </row>
    <row r="486" spans="1:3">
      <c r="A486" s="5">
        <v>6700</v>
      </c>
      <c r="B486" s="5" t="s">
        <v>3060</v>
      </c>
      <c r="C486" s="5" t="s">
        <v>506</v>
      </c>
    </row>
    <row r="487" spans="1:3">
      <c r="A487" s="5">
        <v>6750</v>
      </c>
      <c r="B487" s="5" t="s">
        <v>3061</v>
      </c>
      <c r="C487" s="5" t="s">
        <v>507</v>
      </c>
    </row>
    <row r="488" spans="1:3">
      <c r="A488" s="5">
        <v>6751</v>
      </c>
      <c r="B488" s="5" t="s">
        <v>3062</v>
      </c>
      <c r="C488" s="5" t="s">
        <v>508</v>
      </c>
    </row>
    <row r="489" spans="1:3">
      <c r="A489" s="5">
        <v>6770</v>
      </c>
      <c r="B489" s="5" t="s">
        <v>3063</v>
      </c>
      <c r="C489" s="5" t="s">
        <v>509</v>
      </c>
    </row>
    <row r="490" spans="1:3">
      <c r="A490" s="5">
        <v>6772</v>
      </c>
      <c r="B490" s="5" t="s">
        <v>3064</v>
      </c>
      <c r="C490" s="5" t="s">
        <v>510</v>
      </c>
    </row>
    <row r="491" spans="1:3">
      <c r="A491" s="5">
        <v>6810</v>
      </c>
      <c r="B491" s="5" t="s">
        <v>3065</v>
      </c>
      <c r="C491" s="5" t="s">
        <v>511</v>
      </c>
    </row>
    <row r="492" spans="1:3">
      <c r="A492" s="5">
        <v>6812</v>
      </c>
      <c r="B492" s="5" t="s">
        <v>3066</v>
      </c>
      <c r="C492" s="5" t="s">
        <v>512</v>
      </c>
    </row>
    <row r="493" spans="1:3">
      <c r="A493" s="12">
        <v>6899</v>
      </c>
      <c r="B493" s="12" t="s">
        <v>2855</v>
      </c>
      <c r="C493" s="12" t="s">
        <v>513</v>
      </c>
    </row>
    <row r="494" spans="1:3">
      <c r="A494" s="5">
        <v>6998</v>
      </c>
      <c r="B494" s="5" t="s">
        <v>3067</v>
      </c>
      <c r="C494" s="5" t="s">
        <v>514</v>
      </c>
    </row>
    <row r="495" spans="1:3">
      <c r="A495" s="5">
        <v>7180</v>
      </c>
      <c r="B495" s="5" t="s">
        <v>3068</v>
      </c>
      <c r="C495" s="5" t="s">
        <v>515</v>
      </c>
    </row>
    <row r="496" spans="1:3">
      <c r="A496" s="5">
        <v>7190</v>
      </c>
      <c r="B496" s="5" t="s">
        <v>3069</v>
      </c>
      <c r="C496" s="5" t="s">
        <v>516</v>
      </c>
    </row>
  </sheetData>
  <hyperlinks>
    <hyperlink ref="G5" r:id="rId1" xr:uid="{00000000-0004-0000-0000-000000000000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65"/>
  <sheetViews>
    <sheetView workbookViewId="0">
      <selection activeCell="C38" sqref="C38"/>
    </sheetView>
  </sheetViews>
  <sheetFormatPr defaultRowHeight="15"/>
  <cols>
    <col min="1" max="1" width="18.28515625" style="2" bestFit="1" customWidth="1"/>
    <col min="2" max="2" width="21.28515625" style="2" bestFit="1" customWidth="1"/>
    <col min="3" max="3" width="31.7109375" style="2" bestFit="1" customWidth="1"/>
    <col min="6" max="6" width="20.140625" customWidth="1"/>
    <col min="7" max="7" width="53.28515625" bestFit="1" customWidth="1"/>
  </cols>
  <sheetData>
    <row r="1" spans="1:7">
      <c r="A1" s="10" t="s">
        <v>3076</v>
      </c>
      <c r="B1" s="10" t="s">
        <v>3077</v>
      </c>
      <c r="C1" s="10" t="s">
        <v>3078</v>
      </c>
    </row>
    <row r="2" spans="1:7">
      <c r="A2" s="9" t="s">
        <v>1164</v>
      </c>
      <c r="B2" s="9" t="s">
        <v>1165</v>
      </c>
      <c r="C2" s="9" t="s">
        <v>517</v>
      </c>
      <c r="F2" s="3" t="s">
        <v>2595</v>
      </c>
      <c r="G2" s="3"/>
    </row>
    <row r="3" spans="1:7">
      <c r="A3" s="9" t="s">
        <v>1166</v>
      </c>
      <c r="B3" s="9" t="s">
        <v>1167</v>
      </c>
      <c r="C3" s="9" t="s">
        <v>518</v>
      </c>
      <c r="F3" s="3" t="s">
        <v>3071</v>
      </c>
      <c r="G3" s="3" t="s">
        <v>3112</v>
      </c>
    </row>
    <row r="4" spans="1:7">
      <c r="A4" s="9" t="s">
        <v>1168</v>
      </c>
      <c r="B4" s="9" t="s">
        <v>1169</v>
      </c>
      <c r="C4" s="9" t="s">
        <v>519</v>
      </c>
      <c r="F4" s="3" t="s">
        <v>3072</v>
      </c>
      <c r="G4" s="4"/>
    </row>
    <row r="5" spans="1:7">
      <c r="A5" s="9" t="s">
        <v>1170</v>
      </c>
      <c r="B5" s="9" t="s">
        <v>1171</v>
      </c>
      <c r="C5" s="9" t="s">
        <v>520</v>
      </c>
      <c r="F5" s="6" t="s">
        <v>3075</v>
      </c>
      <c r="G5" s="3" t="s">
        <v>3079</v>
      </c>
    </row>
    <row r="6" spans="1:7">
      <c r="A6" s="9" t="s">
        <v>1172</v>
      </c>
      <c r="B6" s="9" t="s">
        <v>1173</v>
      </c>
      <c r="C6" s="9" t="s">
        <v>521</v>
      </c>
    </row>
    <row r="7" spans="1:7">
      <c r="A7" s="9" t="s">
        <v>1174</v>
      </c>
      <c r="B7" s="9" t="s">
        <v>1175</v>
      </c>
      <c r="C7" s="9" t="s">
        <v>522</v>
      </c>
    </row>
    <row r="8" spans="1:7">
      <c r="A8" s="9" t="s">
        <v>1176</v>
      </c>
      <c r="B8" s="9" t="s">
        <v>1177</v>
      </c>
      <c r="C8" s="9" t="s">
        <v>523</v>
      </c>
    </row>
    <row r="9" spans="1:7">
      <c r="A9" s="9" t="s">
        <v>1178</v>
      </c>
      <c r="B9" s="9" t="s">
        <v>1179</v>
      </c>
      <c r="C9" s="9" t="s">
        <v>524</v>
      </c>
    </row>
    <row r="10" spans="1:7">
      <c r="A10" s="9" t="s">
        <v>1180</v>
      </c>
      <c r="B10" s="9" t="s">
        <v>1181</v>
      </c>
      <c r="C10" s="9" t="s">
        <v>676</v>
      </c>
    </row>
    <row r="11" spans="1:7">
      <c r="A11" s="9" t="s">
        <v>1182</v>
      </c>
      <c r="B11" s="9" t="s">
        <v>1183</v>
      </c>
      <c r="C11" s="9" t="s">
        <v>677</v>
      </c>
    </row>
    <row r="12" spans="1:7">
      <c r="A12" s="9" t="s">
        <v>1184</v>
      </c>
      <c r="B12" s="9" t="s">
        <v>1185</v>
      </c>
      <c r="C12" s="9" t="s">
        <v>678</v>
      </c>
    </row>
    <row r="13" spans="1:7">
      <c r="A13" s="9" t="s">
        <v>1186</v>
      </c>
      <c r="B13" s="9" t="s">
        <v>1187</v>
      </c>
      <c r="C13" s="9" t="s">
        <v>679</v>
      </c>
    </row>
    <row r="14" spans="1:7">
      <c r="A14" s="9" t="s">
        <v>1188</v>
      </c>
      <c r="B14" s="9" t="s">
        <v>1189</v>
      </c>
      <c r="C14" s="9" t="s">
        <v>680</v>
      </c>
    </row>
    <row r="15" spans="1:7">
      <c r="A15" s="9" t="s">
        <v>1190</v>
      </c>
      <c r="B15" s="9" t="s">
        <v>1191</v>
      </c>
      <c r="C15" s="9" t="s">
        <v>525</v>
      </c>
    </row>
    <row r="16" spans="1:7">
      <c r="A16" s="9" t="s">
        <v>1192</v>
      </c>
      <c r="B16" s="9" t="s">
        <v>1193</v>
      </c>
      <c r="C16" s="9" t="s">
        <v>681</v>
      </c>
    </row>
    <row r="17" spans="1:3">
      <c r="A17" s="9" t="s">
        <v>1194</v>
      </c>
      <c r="B17" s="9" t="s">
        <v>1195</v>
      </c>
      <c r="C17" s="9" t="s">
        <v>792</v>
      </c>
    </row>
    <row r="18" spans="1:3">
      <c r="A18" s="9" t="s">
        <v>1196</v>
      </c>
      <c r="B18" s="9" t="s">
        <v>1197</v>
      </c>
      <c r="C18" s="9" t="s">
        <v>682</v>
      </c>
    </row>
    <row r="19" spans="1:3">
      <c r="A19" s="9" t="s">
        <v>1198</v>
      </c>
      <c r="B19" s="9" t="s">
        <v>1199</v>
      </c>
      <c r="C19" s="9" t="s">
        <v>683</v>
      </c>
    </row>
    <row r="20" spans="1:3">
      <c r="A20" s="9" t="s">
        <v>1200</v>
      </c>
      <c r="B20" s="9" t="s">
        <v>1201</v>
      </c>
      <c r="C20" s="9" t="s">
        <v>684</v>
      </c>
    </row>
    <row r="21" spans="1:3">
      <c r="A21" s="9" t="s">
        <v>1202</v>
      </c>
      <c r="B21" s="9" t="s">
        <v>1203</v>
      </c>
      <c r="C21" s="9" t="s">
        <v>526</v>
      </c>
    </row>
    <row r="22" spans="1:3">
      <c r="A22" s="9" t="s">
        <v>1204</v>
      </c>
      <c r="B22" s="9" t="s">
        <v>1205</v>
      </c>
      <c r="C22" s="9" t="s">
        <v>685</v>
      </c>
    </row>
    <row r="23" spans="1:3">
      <c r="A23" s="9" t="s">
        <v>1206</v>
      </c>
      <c r="B23" s="9" t="s">
        <v>1207</v>
      </c>
      <c r="C23" s="9" t="s">
        <v>686</v>
      </c>
    </row>
    <row r="24" spans="1:3">
      <c r="A24" s="9" t="s">
        <v>1208</v>
      </c>
      <c r="B24" s="9" t="s">
        <v>1209</v>
      </c>
      <c r="C24" s="9" t="s">
        <v>687</v>
      </c>
    </row>
    <row r="25" spans="1:3">
      <c r="A25" s="9" t="s">
        <v>1210</v>
      </c>
      <c r="B25" s="9" t="s">
        <v>1211</v>
      </c>
      <c r="C25" s="9" t="s">
        <v>688</v>
      </c>
    </row>
    <row r="26" spans="1:3">
      <c r="A26" s="9" t="s">
        <v>1212</v>
      </c>
      <c r="B26" s="9" t="s">
        <v>1213</v>
      </c>
      <c r="C26" s="9" t="s">
        <v>689</v>
      </c>
    </row>
    <row r="27" spans="1:3">
      <c r="A27" s="9" t="s">
        <v>1214</v>
      </c>
      <c r="B27" s="9" t="s">
        <v>1215</v>
      </c>
      <c r="C27" s="9" t="s">
        <v>690</v>
      </c>
    </row>
    <row r="28" spans="1:3">
      <c r="A28" s="9" t="s">
        <v>1216</v>
      </c>
      <c r="B28" s="9" t="s">
        <v>1217</v>
      </c>
      <c r="C28" s="9" t="s">
        <v>691</v>
      </c>
    </row>
    <row r="29" spans="1:3">
      <c r="A29" s="9" t="s">
        <v>1218</v>
      </c>
      <c r="B29" s="9" t="s">
        <v>1219</v>
      </c>
      <c r="C29" s="9" t="s">
        <v>692</v>
      </c>
    </row>
    <row r="30" spans="1:3">
      <c r="A30" s="9" t="s">
        <v>1220</v>
      </c>
      <c r="B30" s="9" t="s">
        <v>1221</v>
      </c>
      <c r="C30" s="9" t="s">
        <v>693</v>
      </c>
    </row>
    <row r="31" spans="1:3">
      <c r="A31" s="9" t="s">
        <v>1222</v>
      </c>
      <c r="B31" s="9" t="s">
        <v>1223</v>
      </c>
      <c r="C31" s="9" t="s">
        <v>694</v>
      </c>
    </row>
    <row r="32" spans="1:3">
      <c r="A32" s="9" t="s">
        <v>1224</v>
      </c>
      <c r="B32" s="9" t="s">
        <v>1225</v>
      </c>
      <c r="C32" s="9" t="s">
        <v>695</v>
      </c>
    </row>
    <row r="33" spans="1:3">
      <c r="A33" s="9" t="s">
        <v>1226</v>
      </c>
      <c r="B33" s="9" t="s">
        <v>1227</v>
      </c>
      <c r="C33" s="9" t="s">
        <v>696</v>
      </c>
    </row>
    <row r="34" spans="1:3">
      <c r="A34" s="9" t="s">
        <v>1228</v>
      </c>
      <c r="B34" s="9" t="s">
        <v>1229</v>
      </c>
      <c r="C34" s="9" t="s">
        <v>697</v>
      </c>
    </row>
    <row r="35" spans="1:3">
      <c r="A35" s="9" t="s">
        <v>1230</v>
      </c>
      <c r="B35" s="9" t="s">
        <v>1231</v>
      </c>
      <c r="C35" s="9" t="s">
        <v>698</v>
      </c>
    </row>
    <row r="36" spans="1:3">
      <c r="A36" s="9" t="s">
        <v>1232</v>
      </c>
      <c r="B36" s="9" t="s">
        <v>1233</v>
      </c>
      <c r="C36" s="9" t="s">
        <v>699</v>
      </c>
    </row>
    <row r="37" spans="1:3">
      <c r="A37" s="9" t="s">
        <v>1234</v>
      </c>
      <c r="B37" s="9" t="s">
        <v>1235</v>
      </c>
      <c r="C37" s="9" t="s">
        <v>700</v>
      </c>
    </row>
    <row r="38" spans="1:3">
      <c r="A38" s="9" t="s">
        <v>1236</v>
      </c>
      <c r="B38" s="9" t="s">
        <v>1237</v>
      </c>
      <c r="C38" s="9" t="s">
        <v>701</v>
      </c>
    </row>
    <row r="39" spans="1:3">
      <c r="A39" s="9" t="s">
        <v>1238</v>
      </c>
      <c r="B39" s="9" t="s">
        <v>1239</v>
      </c>
      <c r="C39" s="9" t="s">
        <v>527</v>
      </c>
    </row>
    <row r="40" spans="1:3">
      <c r="A40" s="9" t="s">
        <v>1240</v>
      </c>
      <c r="B40" s="9" t="s">
        <v>1241</v>
      </c>
      <c r="C40" s="9" t="s">
        <v>702</v>
      </c>
    </row>
    <row r="41" spans="1:3">
      <c r="A41" s="9" t="s">
        <v>1242</v>
      </c>
      <c r="B41" s="9" t="s">
        <v>1243</v>
      </c>
      <c r="C41" s="9" t="s">
        <v>528</v>
      </c>
    </row>
    <row r="42" spans="1:3">
      <c r="A42" s="9" t="s">
        <v>1244</v>
      </c>
      <c r="B42" s="9" t="s">
        <v>1245</v>
      </c>
      <c r="C42" s="9" t="s">
        <v>529</v>
      </c>
    </row>
    <row r="43" spans="1:3">
      <c r="A43" s="9" t="s">
        <v>1246</v>
      </c>
      <c r="B43" s="9" t="s">
        <v>1247</v>
      </c>
      <c r="C43" s="9" t="s">
        <v>530</v>
      </c>
    </row>
    <row r="44" spans="1:3">
      <c r="A44" s="9" t="s">
        <v>1248</v>
      </c>
      <c r="B44" s="9" t="s">
        <v>1249</v>
      </c>
      <c r="C44" s="9" t="s">
        <v>703</v>
      </c>
    </row>
    <row r="45" spans="1:3">
      <c r="A45" s="9" t="s">
        <v>1250</v>
      </c>
      <c r="B45" s="9" t="s">
        <v>1251</v>
      </c>
      <c r="C45" s="9" t="s">
        <v>704</v>
      </c>
    </row>
    <row r="46" spans="1:3">
      <c r="A46" s="9" t="s">
        <v>1252</v>
      </c>
      <c r="B46" s="9" t="s">
        <v>1251</v>
      </c>
      <c r="C46" s="9" t="s">
        <v>705</v>
      </c>
    </row>
    <row r="47" spans="1:3">
      <c r="A47" s="9" t="s">
        <v>1253</v>
      </c>
      <c r="B47" s="9" t="s">
        <v>1254</v>
      </c>
      <c r="C47" s="9" t="s">
        <v>531</v>
      </c>
    </row>
    <row r="48" spans="1:3">
      <c r="A48" s="9" t="s">
        <v>1255</v>
      </c>
      <c r="B48" s="9" t="s">
        <v>1256</v>
      </c>
      <c r="C48" s="9" t="s">
        <v>532</v>
      </c>
    </row>
    <row r="49" spans="1:3">
      <c r="A49" s="9" t="s">
        <v>1257</v>
      </c>
      <c r="B49" s="9" t="s">
        <v>1258</v>
      </c>
      <c r="C49" s="9" t="s">
        <v>533</v>
      </c>
    </row>
    <row r="50" spans="1:3">
      <c r="A50" s="9" t="s">
        <v>1259</v>
      </c>
      <c r="B50" s="9" t="s">
        <v>1260</v>
      </c>
      <c r="C50" s="9" t="s">
        <v>534</v>
      </c>
    </row>
    <row r="51" spans="1:3">
      <c r="A51" s="9" t="s">
        <v>1261</v>
      </c>
      <c r="B51" s="9" t="s">
        <v>1262</v>
      </c>
      <c r="C51" s="9" t="s">
        <v>706</v>
      </c>
    </row>
    <row r="52" spans="1:3">
      <c r="A52" s="9" t="s">
        <v>1263</v>
      </c>
      <c r="B52" s="9" t="s">
        <v>1264</v>
      </c>
      <c r="C52" s="9" t="s">
        <v>535</v>
      </c>
    </row>
    <row r="53" spans="1:3">
      <c r="A53" s="9" t="s">
        <v>1265</v>
      </c>
      <c r="B53" s="9" t="s">
        <v>1266</v>
      </c>
      <c r="C53" s="9" t="s">
        <v>16</v>
      </c>
    </row>
    <row r="54" spans="1:3">
      <c r="A54" s="9" t="s">
        <v>1267</v>
      </c>
      <c r="B54" s="9" t="s">
        <v>1268</v>
      </c>
      <c r="C54" s="9" t="s">
        <v>536</v>
      </c>
    </row>
    <row r="55" spans="1:3">
      <c r="A55" s="9" t="s">
        <v>1269</v>
      </c>
      <c r="B55" s="9" t="s">
        <v>1270</v>
      </c>
      <c r="C55" s="9" t="s">
        <v>707</v>
      </c>
    </row>
    <row r="56" spans="1:3">
      <c r="A56" s="9" t="s">
        <v>1271</v>
      </c>
      <c r="B56" s="9" t="s">
        <v>1272</v>
      </c>
      <c r="C56" s="9" t="s">
        <v>708</v>
      </c>
    </row>
    <row r="57" spans="1:3">
      <c r="A57" s="9" t="s">
        <v>1273</v>
      </c>
      <c r="B57" s="9" t="s">
        <v>1274</v>
      </c>
      <c r="C57" s="9" t="s">
        <v>709</v>
      </c>
    </row>
    <row r="58" spans="1:3">
      <c r="A58" s="9" t="s">
        <v>1275</v>
      </c>
      <c r="B58" s="9" t="s">
        <v>1276</v>
      </c>
      <c r="C58" s="9" t="s">
        <v>710</v>
      </c>
    </row>
    <row r="59" spans="1:3">
      <c r="A59" s="9" t="s">
        <v>1277</v>
      </c>
      <c r="B59" s="9" t="s">
        <v>1278</v>
      </c>
      <c r="C59" s="9" t="s">
        <v>537</v>
      </c>
    </row>
    <row r="60" spans="1:3">
      <c r="A60" s="9" t="s">
        <v>1279</v>
      </c>
      <c r="B60" s="9" t="s">
        <v>1264</v>
      </c>
      <c r="C60" s="9" t="s">
        <v>711</v>
      </c>
    </row>
    <row r="61" spans="1:3">
      <c r="A61" s="9" t="s">
        <v>1280</v>
      </c>
      <c r="B61" s="9" t="s">
        <v>1281</v>
      </c>
      <c r="C61" s="9" t="s">
        <v>712</v>
      </c>
    </row>
    <row r="62" spans="1:3">
      <c r="A62" s="9" t="s">
        <v>1282</v>
      </c>
      <c r="B62" s="9" t="s">
        <v>1283</v>
      </c>
      <c r="C62" s="9" t="s">
        <v>538</v>
      </c>
    </row>
    <row r="63" spans="1:3">
      <c r="A63" s="9" t="s">
        <v>1284</v>
      </c>
      <c r="B63" s="9" t="s">
        <v>1285</v>
      </c>
      <c r="C63" s="9" t="s">
        <v>539</v>
      </c>
    </row>
    <row r="64" spans="1:3">
      <c r="A64" s="9" t="s">
        <v>1286</v>
      </c>
      <c r="B64" s="9" t="s">
        <v>1287</v>
      </c>
      <c r="C64" s="9" t="s">
        <v>540</v>
      </c>
    </row>
    <row r="65" spans="1:3">
      <c r="A65" s="9" t="s">
        <v>1288</v>
      </c>
      <c r="B65" s="9" t="s">
        <v>1289</v>
      </c>
      <c r="C65" s="9" t="s">
        <v>541</v>
      </c>
    </row>
    <row r="66" spans="1:3">
      <c r="A66" s="9" t="s">
        <v>1290</v>
      </c>
      <c r="B66" s="9" t="s">
        <v>1291</v>
      </c>
      <c r="C66" s="9" t="s">
        <v>542</v>
      </c>
    </row>
    <row r="67" spans="1:3">
      <c r="A67" s="9" t="s">
        <v>1292</v>
      </c>
      <c r="B67" s="9" t="s">
        <v>1293</v>
      </c>
      <c r="C67" s="9" t="s">
        <v>713</v>
      </c>
    </row>
    <row r="68" spans="1:3">
      <c r="A68" s="9" t="s">
        <v>1294</v>
      </c>
      <c r="B68" s="9" t="s">
        <v>1295</v>
      </c>
      <c r="C68" s="9" t="s">
        <v>543</v>
      </c>
    </row>
    <row r="69" spans="1:3">
      <c r="A69" s="9" t="s">
        <v>1296</v>
      </c>
      <c r="B69" s="9" t="s">
        <v>1297</v>
      </c>
      <c r="C69" s="9" t="s">
        <v>544</v>
      </c>
    </row>
    <row r="70" spans="1:3">
      <c r="A70" s="9" t="s">
        <v>1298</v>
      </c>
      <c r="B70" s="9" t="s">
        <v>1299</v>
      </c>
      <c r="C70" s="9" t="s">
        <v>714</v>
      </c>
    </row>
    <row r="71" spans="1:3">
      <c r="A71" s="9" t="s">
        <v>1300</v>
      </c>
      <c r="B71" s="9" t="s">
        <v>1301</v>
      </c>
      <c r="C71" s="9" t="s">
        <v>715</v>
      </c>
    </row>
    <row r="72" spans="1:3">
      <c r="A72" s="9" t="s">
        <v>1302</v>
      </c>
      <c r="B72" s="9" t="s">
        <v>1303</v>
      </c>
      <c r="C72" s="9" t="s">
        <v>545</v>
      </c>
    </row>
    <row r="73" spans="1:3">
      <c r="A73" s="9" t="s">
        <v>1304</v>
      </c>
      <c r="B73" s="9" t="s">
        <v>1305</v>
      </c>
      <c r="C73" s="9" t="s">
        <v>546</v>
      </c>
    </row>
    <row r="74" spans="1:3">
      <c r="A74" s="9" t="s">
        <v>1306</v>
      </c>
      <c r="B74" s="9" t="s">
        <v>1307</v>
      </c>
      <c r="C74" s="9" t="s">
        <v>547</v>
      </c>
    </row>
    <row r="75" spans="1:3">
      <c r="A75" s="9" t="s">
        <v>1308</v>
      </c>
      <c r="B75" s="9" t="s">
        <v>1309</v>
      </c>
      <c r="C75" s="9" t="s">
        <v>716</v>
      </c>
    </row>
    <row r="76" spans="1:3">
      <c r="A76" s="9" t="s">
        <v>1310</v>
      </c>
      <c r="B76" s="9" t="s">
        <v>1311</v>
      </c>
      <c r="C76" s="9" t="s">
        <v>717</v>
      </c>
    </row>
    <row r="77" spans="1:3">
      <c r="A77" s="9" t="s">
        <v>1312</v>
      </c>
      <c r="B77" s="9" t="s">
        <v>1313</v>
      </c>
      <c r="C77" s="9" t="s">
        <v>548</v>
      </c>
    </row>
    <row r="78" spans="1:3">
      <c r="A78" s="9" t="s">
        <v>1314</v>
      </c>
      <c r="B78" s="9" t="s">
        <v>1315</v>
      </c>
      <c r="C78" s="9" t="s">
        <v>549</v>
      </c>
    </row>
    <row r="79" spans="1:3">
      <c r="A79" s="9" t="s">
        <v>1316</v>
      </c>
      <c r="B79" s="9" t="s">
        <v>1317</v>
      </c>
      <c r="C79" s="9" t="s">
        <v>550</v>
      </c>
    </row>
    <row r="80" spans="1:3">
      <c r="A80" s="9" t="s">
        <v>1318</v>
      </c>
      <c r="B80" s="9" t="s">
        <v>1319</v>
      </c>
      <c r="C80" s="9" t="s">
        <v>718</v>
      </c>
    </row>
    <row r="81" spans="1:3">
      <c r="A81" s="9" t="s">
        <v>1320</v>
      </c>
      <c r="B81" s="9" t="s">
        <v>1321</v>
      </c>
      <c r="C81" s="9" t="s">
        <v>17</v>
      </c>
    </row>
    <row r="82" spans="1:3">
      <c r="A82" s="9" t="s">
        <v>1322</v>
      </c>
      <c r="B82" s="9" t="s">
        <v>1323</v>
      </c>
      <c r="C82" s="9" t="s">
        <v>551</v>
      </c>
    </row>
    <row r="83" spans="1:3">
      <c r="A83" s="9" t="s">
        <v>1324</v>
      </c>
      <c r="B83" s="9" t="s">
        <v>1325</v>
      </c>
      <c r="C83" s="9" t="s">
        <v>552</v>
      </c>
    </row>
    <row r="84" spans="1:3">
      <c r="A84" s="9" t="s">
        <v>1326</v>
      </c>
      <c r="B84" s="9" t="s">
        <v>1327</v>
      </c>
      <c r="C84" s="9" t="s">
        <v>18</v>
      </c>
    </row>
    <row r="85" spans="1:3">
      <c r="A85" s="9" t="s">
        <v>1328</v>
      </c>
      <c r="B85" s="9" t="s">
        <v>1329</v>
      </c>
      <c r="C85" s="9" t="s">
        <v>553</v>
      </c>
    </row>
    <row r="86" spans="1:3">
      <c r="A86" s="9" t="s">
        <v>1330</v>
      </c>
      <c r="B86" s="9" t="s">
        <v>1331</v>
      </c>
      <c r="C86" s="9" t="s">
        <v>554</v>
      </c>
    </row>
    <row r="87" spans="1:3">
      <c r="A87" s="9" t="s">
        <v>1332</v>
      </c>
      <c r="B87" s="9" t="s">
        <v>1333</v>
      </c>
      <c r="C87" s="9" t="s">
        <v>776</v>
      </c>
    </row>
    <row r="88" spans="1:3">
      <c r="A88" s="9" t="s">
        <v>1334</v>
      </c>
      <c r="B88" s="9" t="s">
        <v>1335</v>
      </c>
      <c r="C88" s="9" t="s">
        <v>777</v>
      </c>
    </row>
    <row r="89" spans="1:3">
      <c r="A89" s="9" t="s">
        <v>1336</v>
      </c>
      <c r="B89" s="9" t="s">
        <v>1337</v>
      </c>
      <c r="C89" s="9" t="s">
        <v>784</v>
      </c>
    </row>
    <row r="90" spans="1:3">
      <c r="A90" s="9" t="s">
        <v>1338</v>
      </c>
      <c r="B90" s="9" t="s">
        <v>1339</v>
      </c>
      <c r="C90" s="9" t="s">
        <v>785</v>
      </c>
    </row>
    <row r="91" spans="1:3">
      <c r="A91" s="9" t="s">
        <v>1340</v>
      </c>
      <c r="B91" s="9" t="s">
        <v>1341</v>
      </c>
      <c r="C91" s="9" t="s">
        <v>778</v>
      </c>
    </row>
    <row r="92" spans="1:3">
      <c r="A92" s="9" t="s">
        <v>1342</v>
      </c>
      <c r="B92" s="9" t="s">
        <v>1343</v>
      </c>
      <c r="C92" s="9" t="s">
        <v>779</v>
      </c>
    </row>
    <row r="93" spans="1:3">
      <c r="A93" s="9" t="s">
        <v>1344</v>
      </c>
      <c r="B93" s="9" t="s">
        <v>1345</v>
      </c>
      <c r="C93" s="9" t="s">
        <v>786</v>
      </c>
    </row>
    <row r="94" spans="1:3">
      <c r="A94" s="9" t="s">
        <v>1346</v>
      </c>
      <c r="B94" s="9" t="s">
        <v>1347</v>
      </c>
      <c r="C94" s="9" t="s">
        <v>787</v>
      </c>
    </row>
    <row r="95" spans="1:3">
      <c r="A95" s="9" t="s">
        <v>1348</v>
      </c>
      <c r="B95" s="9" t="s">
        <v>1349</v>
      </c>
      <c r="C95" s="9" t="s">
        <v>719</v>
      </c>
    </row>
    <row r="96" spans="1:3">
      <c r="A96" s="9" t="s">
        <v>1350</v>
      </c>
      <c r="B96" s="9" t="s">
        <v>1351</v>
      </c>
      <c r="C96" s="9" t="s">
        <v>555</v>
      </c>
    </row>
    <row r="97" spans="1:3">
      <c r="A97" s="9" t="s">
        <v>1352</v>
      </c>
      <c r="B97" s="9" t="s">
        <v>1353</v>
      </c>
      <c r="C97" s="9" t="s">
        <v>720</v>
      </c>
    </row>
    <row r="98" spans="1:3">
      <c r="A98" s="9" t="s">
        <v>1354</v>
      </c>
      <c r="B98" s="9" t="s">
        <v>1355</v>
      </c>
      <c r="C98" s="9" t="s">
        <v>721</v>
      </c>
    </row>
    <row r="99" spans="1:3">
      <c r="A99" s="9" t="s">
        <v>1356</v>
      </c>
      <c r="B99" s="9" t="s">
        <v>1357</v>
      </c>
      <c r="C99" s="9" t="s">
        <v>722</v>
      </c>
    </row>
    <row r="100" spans="1:3">
      <c r="A100" s="9" t="s">
        <v>1358</v>
      </c>
      <c r="B100" s="9" t="s">
        <v>1359</v>
      </c>
      <c r="C100" s="9" t="s">
        <v>723</v>
      </c>
    </row>
    <row r="101" spans="1:3">
      <c r="A101" s="9" t="s">
        <v>1360</v>
      </c>
      <c r="B101" s="9" t="s">
        <v>1361</v>
      </c>
      <c r="C101" s="9" t="s">
        <v>556</v>
      </c>
    </row>
    <row r="102" spans="1:3">
      <c r="A102" s="9" t="s">
        <v>1362</v>
      </c>
      <c r="B102" s="9" t="s">
        <v>1363</v>
      </c>
      <c r="C102" s="9" t="s">
        <v>724</v>
      </c>
    </row>
    <row r="103" spans="1:3">
      <c r="A103" s="9" t="s">
        <v>1364</v>
      </c>
      <c r="B103" s="9" t="s">
        <v>1365</v>
      </c>
      <c r="C103" s="9" t="s">
        <v>725</v>
      </c>
    </row>
    <row r="104" spans="1:3">
      <c r="A104" s="9" t="s">
        <v>1366</v>
      </c>
      <c r="B104" s="9" t="s">
        <v>1367</v>
      </c>
      <c r="C104" s="9" t="s">
        <v>726</v>
      </c>
    </row>
    <row r="105" spans="1:3">
      <c r="A105" s="9" t="s">
        <v>1368</v>
      </c>
      <c r="B105" s="9" t="s">
        <v>1369</v>
      </c>
      <c r="C105" s="9" t="s">
        <v>727</v>
      </c>
    </row>
    <row r="106" spans="1:3">
      <c r="A106" s="9" t="s">
        <v>1370</v>
      </c>
      <c r="B106" s="9" t="s">
        <v>1371</v>
      </c>
      <c r="C106" s="9" t="s">
        <v>557</v>
      </c>
    </row>
    <row r="107" spans="1:3">
      <c r="A107" s="9" t="s">
        <v>1372</v>
      </c>
      <c r="B107" s="9" t="s">
        <v>1373</v>
      </c>
      <c r="C107" s="9" t="s">
        <v>728</v>
      </c>
    </row>
    <row r="108" spans="1:3">
      <c r="A108" s="9" t="s">
        <v>1374</v>
      </c>
      <c r="B108" s="9" t="s">
        <v>1375</v>
      </c>
      <c r="C108" s="9" t="s">
        <v>729</v>
      </c>
    </row>
    <row r="109" spans="1:3">
      <c r="A109" s="9" t="s">
        <v>1376</v>
      </c>
      <c r="B109" s="9" t="s">
        <v>1377</v>
      </c>
      <c r="C109" s="9" t="s">
        <v>730</v>
      </c>
    </row>
    <row r="110" spans="1:3">
      <c r="A110" s="9" t="s">
        <v>1378</v>
      </c>
      <c r="B110" s="9" t="s">
        <v>1379</v>
      </c>
      <c r="C110" s="9" t="s">
        <v>731</v>
      </c>
    </row>
    <row r="111" spans="1:3">
      <c r="A111" s="9" t="s">
        <v>1380</v>
      </c>
      <c r="B111" s="9" t="s">
        <v>1381</v>
      </c>
      <c r="C111" s="9" t="s">
        <v>732</v>
      </c>
    </row>
    <row r="112" spans="1:3">
      <c r="A112" s="9" t="s">
        <v>1382</v>
      </c>
      <c r="B112" s="9" t="s">
        <v>1383</v>
      </c>
      <c r="C112" s="9" t="s">
        <v>558</v>
      </c>
    </row>
    <row r="113" spans="1:3">
      <c r="A113" s="9" t="s">
        <v>1384</v>
      </c>
      <c r="B113" s="9" t="s">
        <v>1385</v>
      </c>
      <c r="C113" s="9" t="s">
        <v>559</v>
      </c>
    </row>
    <row r="114" spans="1:3">
      <c r="A114" s="9" t="s">
        <v>1386</v>
      </c>
      <c r="B114" s="9" t="s">
        <v>1387</v>
      </c>
      <c r="C114" s="9" t="s">
        <v>733</v>
      </c>
    </row>
    <row r="115" spans="1:3">
      <c r="A115" s="9" t="s">
        <v>1388</v>
      </c>
      <c r="B115" s="9" t="s">
        <v>1389</v>
      </c>
      <c r="C115" s="9" t="s">
        <v>793</v>
      </c>
    </row>
    <row r="116" spans="1:3">
      <c r="A116" s="9" t="s">
        <v>1390</v>
      </c>
      <c r="B116" s="9" t="s">
        <v>1391</v>
      </c>
      <c r="C116" s="9" t="s">
        <v>734</v>
      </c>
    </row>
    <row r="117" spans="1:3">
      <c r="A117" s="9" t="s">
        <v>1392</v>
      </c>
      <c r="B117" s="9" t="s">
        <v>1393</v>
      </c>
      <c r="C117" s="9" t="s">
        <v>735</v>
      </c>
    </row>
    <row r="118" spans="1:3">
      <c r="A118" s="9" t="s">
        <v>1394</v>
      </c>
      <c r="B118" s="9" t="s">
        <v>1395</v>
      </c>
      <c r="C118" s="9" t="s">
        <v>736</v>
      </c>
    </row>
    <row r="119" spans="1:3">
      <c r="A119" s="9" t="s">
        <v>1396</v>
      </c>
      <c r="B119" s="9" t="s">
        <v>1397</v>
      </c>
      <c r="C119" s="9" t="s">
        <v>560</v>
      </c>
    </row>
    <row r="120" spans="1:3">
      <c r="A120" s="9" t="s">
        <v>1398</v>
      </c>
      <c r="B120" s="9" t="s">
        <v>1399</v>
      </c>
      <c r="C120" s="9" t="s">
        <v>772</v>
      </c>
    </row>
    <row r="121" spans="1:3">
      <c r="A121" s="9" t="s">
        <v>1400</v>
      </c>
      <c r="B121" s="9" t="s">
        <v>1401</v>
      </c>
      <c r="C121" s="9" t="s">
        <v>561</v>
      </c>
    </row>
    <row r="122" spans="1:3">
      <c r="A122" s="9" t="s">
        <v>1402</v>
      </c>
      <c r="B122" s="9" t="s">
        <v>1403</v>
      </c>
      <c r="C122" s="9" t="s">
        <v>562</v>
      </c>
    </row>
    <row r="123" spans="1:3">
      <c r="A123" s="9" t="s">
        <v>1404</v>
      </c>
      <c r="B123" s="9" t="s">
        <v>1405</v>
      </c>
      <c r="C123" s="9" t="s">
        <v>563</v>
      </c>
    </row>
    <row r="124" spans="1:3">
      <c r="A124" s="9" t="s">
        <v>1406</v>
      </c>
      <c r="B124" s="9" t="s">
        <v>1407</v>
      </c>
      <c r="C124" s="9" t="s">
        <v>773</v>
      </c>
    </row>
    <row r="125" spans="1:3">
      <c r="A125" s="9" t="s">
        <v>1408</v>
      </c>
      <c r="B125" s="9" t="s">
        <v>1409</v>
      </c>
      <c r="C125" s="9" t="s">
        <v>564</v>
      </c>
    </row>
    <row r="126" spans="1:3">
      <c r="A126" s="9" t="s">
        <v>1410</v>
      </c>
      <c r="B126" s="9" t="s">
        <v>1411</v>
      </c>
      <c r="C126" s="9" t="s">
        <v>565</v>
      </c>
    </row>
    <row r="127" spans="1:3">
      <c r="A127" s="9" t="s">
        <v>1412</v>
      </c>
      <c r="B127" s="9" t="s">
        <v>1413</v>
      </c>
      <c r="C127" s="9" t="s">
        <v>566</v>
      </c>
    </row>
    <row r="128" spans="1:3">
      <c r="A128" s="9" t="s">
        <v>1414</v>
      </c>
      <c r="B128" s="9" t="s">
        <v>1415</v>
      </c>
      <c r="C128" s="9" t="s">
        <v>567</v>
      </c>
    </row>
    <row r="129" spans="1:3">
      <c r="A129" s="9" t="s">
        <v>1416</v>
      </c>
      <c r="B129" s="9" t="s">
        <v>1417</v>
      </c>
      <c r="C129" s="9" t="s">
        <v>568</v>
      </c>
    </row>
    <row r="130" spans="1:3">
      <c r="A130" s="9" t="s">
        <v>1418</v>
      </c>
      <c r="B130" s="9" t="s">
        <v>1419</v>
      </c>
      <c r="C130" s="9" t="s">
        <v>569</v>
      </c>
    </row>
    <row r="131" spans="1:3">
      <c r="A131" s="9" t="s">
        <v>1420</v>
      </c>
      <c r="B131" s="9" t="s">
        <v>1421</v>
      </c>
      <c r="C131" s="9" t="s">
        <v>570</v>
      </c>
    </row>
    <row r="132" spans="1:3">
      <c r="A132" s="9" t="s">
        <v>1422</v>
      </c>
      <c r="B132" s="9" t="s">
        <v>1423</v>
      </c>
      <c r="C132" s="9" t="s">
        <v>571</v>
      </c>
    </row>
    <row r="133" spans="1:3">
      <c r="A133" s="9" t="s">
        <v>1424</v>
      </c>
      <c r="B133" s="9" t="s">
        <v>1425</v>
      </c>
      <c r="C133" s="9" t="s">
        <v>572</v>
      </c>
    </row>
    <row r="134" spans="1:3">
      <c r="A134" s="9" t="s">
        <v>1426</v>
      </c>
      <c r="B134" s="9" t="s">
        <v>1427</v>
      </c>
      <c r="C134" s="9" t="s">
        <v>573</v>
      </c>
    </row>
    <row r="135" spans="1:3">
      <c r="A135" s="9" t="s">
        <v>1428</v>
      </c>
      <c r="B135" s="9" t="s">
        <v>1429</v>
      </c>
      <c r="C135" s="9" t="s">
        <v>574</v>
      </c>
    </row>
    <row r="136" spans="1:3">
      <c r="A136" s="9" t="s">
        <v>1430</v>
      </c>
      <c r="B136" s="9" t="s">
        <v>1431</v>
      </c>
      <c r="C136" s="9" t="s">
        <v>575</v>
      </c>
    </row>
    <row r="137" spans="1:3">
      <c r="A137" s="9" t="s">
        <v>1432</v>
      </c>
      <c r="B137" s="9" t="s">
        <v>1433</v>
      </c>
      <c r="C137" s="9" t="s">
        <v>576</v>
      </c>
    </row>
    <row r="138" spans="1:3">
      <c r="A138" s="9" t="s">
        <v>1434</v>
      </c>
      <c r="B138" s="9" t="s">
        <v>1435</v>
      </c>
      <c r="C138" s="9" t="s">
        <v>577</v>
      </c>
    </row>
    <row r="139" spans="1:3">
      <c r="A139" s="9" t="s">
        <v>1436</v>
      </c>
      <c r="B139" s="9" t="s">
        <v>1437</v>
      </c>
      <c r="C139" s="9" t="s">
        <v>578</v>
      </c>
    </row>
    <row r="140" spans="1:3">
      <c r="A140" s="9" t="s">
        <v>1438</v>
      </c>
      <c r="B140" s="9" t="s">
        <v>1439</v>
      </c>
      <c r="C140" s="9" t="s">
        <v>579</v>
      </c>
    </row>
    <row r="141" spans="1:3">
      <c r="A141" s="9" t="s">
        <v>1440</v>
      </c>
      <c r="B141" s="9" t="s">
        <v>1441</v>
      </c>
      <c r="C141" s="9" t="s">
        <v>580</v>
      </c>
    </row>
    <row r="142" spans="1:3">
      <c r="A142" s="9" t="s">
        <v>1442</v>
      </c>
      <c r="B142" s="9" t="s">
        <v>1443</v>
      </c>
      <c r="C142" s="9" t="s">
        <v>737</v>
      </c>
    </row>
    <row r="143" spans="1:3">
      <c r="A143" s="9" t="s">
        <v>1444</v>
      </c>
      <c r="B143" s="9" t="s">
        <v>1445</v>
      </c>
      <c r="C143" s="9" t="s">
        <v>581</v>
      </c>
    </row>
    <row r="144" spans="1:3">
      <c r="A144" s="9" t="s">
        <v>1446</v>
      </c>
      <c r="B144" s="9" t="s">
        <v>1447</v>
      </c>
      <c r="C144" s="9" t="s">
        <v>582</v>
      </c>
    </row>
    <row r="145" spans="1:3">
      <c r="A145" s="9" t="s">
        <v>1448</v>
      </c>
      <c r="B145" s="9" t="s">
        <v>1449</v>
      </c>
      <c r="C145" s="9" t="s">
        <v>583</v>
      </c>
    </row>
    <row r="146" spans="1:3">
      <c r="A146" s="9" t="s">
        <v>1450</v>
      </c>
      <c r="B146" s="9" t="s">
        <v>1451</v>
      </c>
      <c r="C146" s="9" t="s">
        <v>774</v>
      </c>
    </row>
    <row r="147" spans="1:3">
      <c r="A147" s="9" t="s">
        <v>1452</v>
      </c>
      <c r="B147" s="9" t="s">
        <v>1453</v>
      </c>
      <c r="C147" s="9" t="s">
        <v>584</v>
      </c>
    </row>
    <row r="148" spans="1:3">
      <c r="A148" s="9" t="s">
        <v>1454</v>
      </c>
      <c r="B148" s="9" t="s">
        <v>1455</v>
      </c>
      <c r="C148" s="9" t="s">
        <v>585</v>
      </c>
    </row>
    <row r="149" spans="1:3">
      <c r="A149" s="9" t="s">
        <v>1456</v>
      </c>
      <c r="B149" s="9" t="s">
        <v>1457</v>
      </c>
      <c r="C149" s="9" t="s">
        <v>586</v>
      </c>
    </row>
    <row r="150" spans="1:3">
      <c r="A150" s="9" t="s">
        <v>1458</v>
      </c>
      <c r="B150" s="9" t="s">
        <v>1459</v>
      </c>
      <c r="C150" s="9" t="s">
        <v>587</v>
      </c>
    </row>
    <row r="151" spans="1:3">
      <c r="A151" s="9" t="s">
        <v>1460</v>
      </c>
      <c r="B151" s="9" t="s">
        <v>1461</v>
      </c>
      <c r="C151" s="9" t="s">
        <v>588</v>
      </c>
    </row>
    <row r="152" spans="1:3">
      <c r="A152" s="9" t="s">
        <v>1462</v>
      </c>
      <c r="B152" s="9" t="s">
        <v>1463</v>
      </c>
      <c r="C152" s="9" t="s">
        <v>589</v>
      </c>
    </row>
    <row r="153" spans="1:3">
      <c r="A153" s="9" t="s">
        <v>1464</v>
      </c>
      <c r="B153" s="9" t="s">
        <v>1465</v>
      </c>
      <c r="C153" s="9" t="s">
        <v>590</v>
      </c>
    </row>
    <row r="154" spans="1:3">
      <c r="A154" s="9" t="s">
        <v>1466</v>
      </c>
      <c r="B154" s="9" t="s">
        <v>1467</v>
      </c>
      <c r="C154" s="9" t="s">
        <v>591</v>
      </c>
    </row>
    <row r="155" spans="1:3">
      <c r="A155" s="9" t="s">
        <v>1468</v>
      </c>
      <c r="B155" s="9" t="s">
        <v>1469</v>
      </c>
      <c r="C155" s="9" t="s">
        <v>592</v>
      </c>
    </row>
    <row r="156" spans="1:3">
      <c r="A156" s="9" t="s">
        <v>1470</v>
      </c>
      <c r="B156" s="9" t="s">
        <v>1471</v>
      </c>
      <c r="C156" s="9" t="s">
        <v>593</v>
      </c>
    </row>
    <row r="157" spans="1:3">
      <c r="A157" s="9" t="s">
        <v>1472</v>
      </c>
      <c r="B157" s="9" t="s">
        <v>1473</v>
      </c>
      <c r="C157" s="9" t="s">
        <v>594</v>
      </c>
    </row>
    <row r="158" spans="1:3">
      <c r="A158" s="9" t="s">
        <v>1474</v>
      </c>
      <c r="B158" s="9" t="s">
        <v>1475</v>
      </c>
      <c r="C158" s="9" t="s">
        <v>595</v>
      </c>
    </row>
    <row r="159" spans="1:3">
      <c r="A159" s="9" t="s">
        <v>1476</v>
      </c>
      <c r="B159" s="9" t="s">
        <v>1477</v>
      </c>
      <c r="C159" s="9" t="s">
        <v>596</v>
      </c>
    </row>
    <row r="160" spans="1:3">
      <c r="A160" s="9" t="s">
        <v>1478</v>
      </c>
      <c r="B160" s="9" t="s">
        <v>1479</v>
      </c>
      <c r="C160" s="9" t="s">
        <v>597</v>
      </c>
    </row>
    <row r="161" spans="1:3">
      <c r="A161" s="9" t="s">
        <v>1480</v>
      </c>
      <c r="B161" s="9" t="s">
        <v>1481</v>
      </c>
      <c r="C161" s="9" t="s">
        <v>738</v>
      </c>
    </row>
    <row r="162" spans="1:3">
      <c r="A162" s="9" t="s">
        <v>1482</v>
      </c>
      <c r="B162" s="9" t="s">
        <v>1483</v>
      </c>
      <c r="C162" s="9" t="s">
        <v>739</v>
      </c>
    </row>
    <row r="163" spans="1:3">
      <c r="A163" s="9" t="s">
        <v>1484</v>
      </c>
      <c r="B163" s="9" t="s">
        <v>1485</v>
      </c>
      <c r="C163" s="9" t="s">
        <v>598</v>
      </c>
    </row>
    <row r="164" spans="1:3">
      <c r="A164" s="9" t="s">
        <v>1486</v>
      </c>
      <c r="B164" s="9" t="s">
        <v>1487</v>
      </c>
      <c r="C164" s="9" t="s">
        <v>599</v>
      </c>
    </row>
    <row r="165" spans="1:3">
      <c r="A165" s="9" t="s">
        <v>1488</v>
      </c>
      <c r="B165" s="9" t="s">
        <v>1489</v>
      </c>
      <c r="C165" s="9" t="s">
        <v>740</v>
      </c>
    </row>
    <row r="166" spans="1:3">
      <c r="A166" s="9" t="s">
        <v>1490</v>
      </c>
      <c r="B166" s="9" t="s">
        <v>1491</v>
      </c>
      <c r="C166" s="9" t="s">
        <v>741</v>
      </c>
    </row>
    <row r="167" spans="1:3">
      <c r="A167" s="9" t="s">
        <v>1492</v>
      </c>
      <c r="B167" s="9" t="s">
        <v>1493</v>
      </c>
      <c r="C167" s="9" t="s">
        <v>600</v>
      </c>
    </row>
    <row r="168" spans="1:3">
      <c r="A168" s="9" t="s">
        <v>1494</v>
      </c>
      <c r="B168" s="9" t="s">
        <v>1495</v>
      </c>
      <c r="C168" s="9" t="s">
        <v>601</v>
      </c>
    </row>
    <row r="169" spans="1:3">
      <c r="A169" s="9" t="s">
        <v>1496</v>
      </c>
      <c r="B169" s="9" t="s">
        <v>1497</v>
      </c>
      <c r="C169" s="9" t="s">
        <v>742</v>
      </c>
    </row>
    <row r="170" spans="1:3">
      <c r="A170" s="9" t="s">
        <v>1498</v>
      </c>
      <c r="B170" s="9" t="s">
        <v>1499</v>
      </c>
      <c r="C170" s="9" t="s">
        <v>743</v>
      </c>
    </row>
    <row r="171" spans="1:3">
      <c r="A171" s="9" t="s">
        <v>1500</v>
      </c>
      <c r="B171" s="9" t="s">
        <v>1501</v>
      </c>
      <c r="C171" s="9" t="s">
        <v>744</v>
      </c>
    </row>
    <row r="172" spans="1:3">
      <c r="A172" s="9" t="s">
        <v>1502</v>
      </c>
      <c r="B172" s="9" t="s">
        <v>1503</v>
      </c>
      <c r="C172" s="9" t="s">
        <v>745</v>
      </c>
    </row>
    <row r="173" spans="1:3">
      <c r="A173" s="9" t="s">
        <v>1504</v>
      </c>
      <c r="B173" s="9" t="s">
        <v>1505</v>
      </c>
      <c r="C173" s="9" t="s">
        <v>746</v>
      </c>
    </row>
    <row r="174" spans="1:3">
      <c r="A174" s="9" t="s">
        <v>1506</v>
      </c>
      <c r="B174" s="9" t="s">
        <v>1507</v>
      </c>
      <c r="C174" s="9" t="s">
        <v>747</v>
      </c>
    </row>
    <row r="175" spans="1:3">
      <c r="A175" s="9" t="s">
        <v>1508</v>
      </c>
      <c r="B175" s="9" t="s">
        <v>1509</v>
      </c>
      <c r="C175" s="9" t="s">
        <v>748</v>
      </c>
    </row>
    <row r="176" spans="1:3">
      <c r="A176" s="9" t="s">
        <v>1510</v>
      </c>
      <c r="B176" s="9" t="s">
        <v>1511</v>
      </c>
      <c r="C176" s="9" t="s">
        <v>602</v>
      </c>
    </row>
    <row r="177" spans="1:3">
      <c r="A177" s="9" t="s">
        <v>1512</v>
      </c>
      <c r="B177" s="9" t="s">
        <v>1513</v>
      </c>
      <c r="C177" s="9" t="s">
        <v>603</v>
      </c>
    </row>
    <row r="178" spans="1:3">
      <c r="A178" s="9" t="s">
        <v>1514</v>
      </c>
      <c r="B178" s="9" t="s">
        <v>1515</v>
      </c>
      <c r="C178" s="9" t="s">
        <v>19</v>
      </c>
    </row>
    <row r="179" spans="1:3">
      <c r="A179" s="9" t="s">
        <v>1516</v>
      </c>
      <c r="B179" s="9" t="s">
        <v>1517</v>
      </c>
      <c r="C179" s="9" t="s">
        <v>604</v>
      </c>
    </row>
    <row r="180" spans="1:3">
      <c r="A180" s="9" t="s">
        <v>1518</v>
      </c>
      <c r="B180" s="9" t="s">
        <v>1519</v>
      </c>
      <c r="C180" s="9" t="s">
        <v>605</v>
      </c>
    </row>
    <row r="181" spans="1:3">
      <c r="A181" s="9" t="s">
        <v>1520</v>
      </c>
      <c r="B181" s="9" t="s">
        <v>1521</v>
      </c>
      <c r="C181" s="9" t="s">
        <v>749</v>
      </c>
    </row>
    <row r="182" spans="1:3">
      <c r="A182" s="9" t="s">
        <v>1522</v>
      </c>
      <c r="B182" s="9" t="s">
        <v>1523</v>
      </c>
      <c r="C182" s="9" t="s">
        <v>606</v>
      </c>
    </row>
    <row r="183" spans="1:3">
      <c r="A183" s="9" t="s">
        <v>1524</v>
      </c>
      <c r="B183" s="9" t="s">
        <v>1525</v>
      </c>
      <c r="C183" s="9" t="s">
        <v>607</v>
      </c>
    </row>
    <row r="184" spans="1:3">
      <c r="A184" s="9" t="s">
        <v>1526</v>
      </c>
      <c r="B184" s="9" t="s">
        <v>1527</v>
      </c>
      <c r="C184" s="9" t="s">
        <v>608</v>
      </c>
    </row>
    <row r="185" spans="1:3">
      <c r="A185" s="9" t="s">
        <v>1528</v>
      </c>
      <c r="B185" s="9" t="s">
        <v>1529</v>
      </c>
      <c r="C185" s="9" t="s">
        <v>750</v>
      </c>
    </row>
    <row r="186" spans="1:3">
      <c r="A186" s="9" t="s">
        <v>1530</v>
      </c>
      <c r="B186" s="9" t="s">
        <v>1531</v>
      </c>
      <c r="C186" s="9" t="s">
        <v>20</v>
      </c>
    </row>
    <row r="187" spans="1:3">
      <c r="A187" s="9" t="s">
        <v>1532</v>
      </c>
      <c r="B187" s="9" t="s">
        <v>1533</v>
      </c>
      <c r="C187" s="9" t="s">
        <v>751</v>
      </c>
    </row>
    <row r="188" spans="1:3">
      <c r="A188" s="9" t="s">
        <v>1534</v>
      </c>
      <c r="B188" s="9" t="s">
        <v>1535</v>
      </c>
      <c r="C188" s="9" t="s">
        <v>752</v>
      </c>
    </row>
    <row r="189" spans="1:3">
      <c r="A189" s="9" t="s">
        <v>1536</v>
      </c>
      <c r="B189" s="9" t="s">
        <v>1537</v>
      </c>
      <c r="C189" s="9" t="s">
        <v>753</v>
      </c>
    </row>
    <row r="190" spans="1:3">
      <c r="A190" s="9" t="s">
        <v>1538</v>
      </c>
      <c r="B190" s="9" t="s">
        <v>1539</v>
      </c>
      <c r="C190" s="9" t="s">
        <v>754</v>
      </c>
    </row>
    <row r="191" spans="1:3">
      <c r="A191" s="9" t="s">
        <v>1540</v>
      </c>
      <c r="B191" s="9" t="s">
        <v>1541</v>
      </c>
      <c r="C191" s="9" t="s">
        <v>755</v>
      </c>
    </row>
    <row r="192" spans="1:3">
      <c r="A192" s="9" t="s">
        <v>1542</v>
      </c>
      <c r="B192" s="9" t="s">
        <v>1543</v>
      </c>
      <c r="C192" s="9" t="s">
        <v>756</v>
      </c>
    </row>
    <row r="193" spans="1:3">
      <c r="A193" s="9" t="s">
        <v>1544</v>
      </c>
      <c r="B193" s="9" t="s">
        <v>1545</v>
      </c>
      <c r="C193" s="9" t="s">
        <v>757</v>
      </c>
    </row>
    <row r="194" spans="1:3">
      <c r="A194" s="9" t="s">
        <v>1546</v>
      </c>
      <c r="B194" s="9" t="s">
        <v>1547</v>
      </c>
      <c r="C194" s="9" t="s">
        <v>21</v>
      </c>
    </row>
    <row r="195" spans="1:3">
      <c r="A195" s="9" t="s">
        <v>1548</v>
      </c>
      <c r="B195" s="9" t="s">
        <v>1549</v>
      </c>
      <c r="C195" s="9" t="s">
        <v>794</v>
      </c>
    </row>
    <row r="196" spans="1:3">
      <c r="A196" s="9" t="s">
        <v>1550</v>
      </c>
      <c r="B196" s="9" t="s">
        <v>1551</v>
      </c>
      <c r="C196" s="9" t="s">
        <v>758</v>
      </c>
    </row>
    <row r="197" spans="1:3">
      <c r="A197" s="9" t="s">
        <v>1552</v>
      </c>
      <c r="B197" s="9" t="s">
        <v>1553</v>
      </c>
      <c r="C197" s="9" t="s">
        <v>609</v>
      </c>
    </row>
    <row r="198" spans="1:3">
      <c r="A198" s="9" t="s">
        <v>1554</v>
      </c>
      <c r="B198" s="9" t="s">
        <v>1555</v>
      </c>
      <c r="C198" s="9" t="s">
        <v>795</v>
      </c>
    </row>
    <row r="199" spans="1:3">
      <c r="A199" s="9" t="s">
        <v>1556</v>
      </c>
      <c r="B199" s="9" t="s">
        <v>1557</v>
      </c>
      <c r="C199" s="9" t="s">
        <v>610</v>
      </c>
    </row>
    <row r="200" spans="1:3">
      <c r="A200" s="9" t="s">
        <v>1558</v>
      </c>
      <c r="B200" s="9" t="s">
        <v>1559</v>
      </c>
      <c r="C200" s="9" t="s">
        <v>611</v>
      </c>
    </row>
    <row r="201" spans="1:3">
      <c r="A201" s="9" t="s">
        <v>1560</v>
      </c>
      <c r="B201" s="9" t="s">
        <v>1561</v>
      </c>
      <c r="C201" s="9" t="s">
        <v>775</v>
      </c>
    </row>
    <row r="202" spans="1:3">
      <c r="A202" s="9" t="s">
        <v>1562</v>
      </c>
      <c r="B202" s="9" t="s">
        <v>1563</v>
      </c>
      <c r="C202" s="9" t="s">
        <v>612</v>
      </c>
    </row>
    <row r="203" spans="1:3">
      <c r="A203" s="9" t="s">
        <v>1564</v>
      </c>
      <c r="B203" s="9" t="s">
        <v>1565</v>
      </c>
      <c r="C203" s="9" t="s">
        <v>613</v>
      </c>
    </row>
    <row r="204" spans="1:3">
      <c r="A204" s="9" t="s">
        <v>1566</v>
      </c>
      <c r="B204" s="9" t="s">
        <v>1567</v>
      </c>
      <c r="C204" s="9" t="s">
        <v>759</v>
      </c>
    </row>
    <row r="205" spans="1:3">
      <c r="A205" s="9" t="s">
        <v>1568</v>
      </c>
      <c r="B205" s="9" t="s">
        <v>1569</v>
      </c>
      <c r="C205" s="9" t="s">
        <v>796</v>
      </c>
    </row>
    <row r="206" spans="1:3">
      <c r="A206" s="9" t="s">
        <v>1570</v>
      </c>
      <c r="B206" s="9" t="s">
        <v>1571</v>
      </c>
      <c r="C206" s="9" t="s">
        <v>797</v>
      </c>
    </row>
    <row r="207" spans="1:3">
      <c r="A207" s="9" t="s">
        <v>1572</v>
      </c>
      <c r="B207" s="9" t="s">
        <v>1573</v>
      </c>
      <c r="C207" s="9" t="s">
        <v>760</v>
      </c>
    </row>
    <row r="208" spans="1:3">
      <c r="A208" s="9" t="s">
        <v>1574</v>
      </c>
      <c r="B208" s="9" t="s">
        <v>1575</v>
      </c>
      <c r="C208" s="9" t="s">
        <v>761</v>
      </c>
    </row>
    <row r="209" spans="1:3">
      <c r="A209" s="9" t="s">
        <v>1576</v>
      </c>
      <c r="B209" s="9" t="s">
        <v>1577</v>
      </c>
      <c r="C209" s="9" t="s">
        <v>614</v>
      </c>
    </row>
    <row r="210" spans="1:3">
      <c r="A210" s="9" t="s">
        <v>1578</v>
      </c>
      <c r="B210" s="9" t="s">
        <v>1579</v>
      </c>
      <c r="C210" s="9" t="s">
        <v>615</v>
      </c>
    </row>
    <row r="211" spans="1:3">
      <c r="A211" s="9" t="s">
        <v>1580</v>
      </c>
      <c r="B211" s="9" t="s">
        <v>1581</v>
      </c>
      <c r="C211" s="9" t="s">
        <v>616</v>
      </c>
    </row>
    <row r="212" spans="1:3">
      <c r="A212" s="9" t="s">
        <v>1582</v>
      </c>
      <c r="B212" s="9" t="s">
        <v>1583</v>
      </c>
      <c r="C212" s="9" t="s">
        <v>617</v>
      </c>
    </row>
    <row r="213" spans="1:3">
      <c r="A213" s="9" t="s">
        <v>1584</v>
      </c>
      <c r="B213" s="9" t="s">
        <v>1585</v>
      </c>
      <c r="C213" s="9" t="s">
        <v>618</v>
      </c>
    </row>
    <row r="214" spans="1:3">
      <c r="A214" s="9" t="s">
        <v>1586</v>
      </c>
      <c r="B214" s="9" t="s">
        <v>1587</v>
      </c>
      <c r="C214" s="9" t="s">
        <v>619</v>
      </c>
    </row>
    <row r="215" spans="1:3">
      <c r="A215" s="9" t="s">
        <v>1588</v>
      </c>
      <c r="B215" s="9" t="s">
        <v>1589</v>
      </c>
      <c r="C215" s="9" t="s">
        <v>620</v>
      </c>
    </row>
    <row r="216" spans="1:3">
      <c r="A216" s="9" t="s">
        <v>1590</v>
      </c>
      <c r="B216" s="9" t="s">
        <v>1591</v>
      </c>
      <c r="C216" s="9" t="s">
        <v>621</v>
      </c>
    </row>
    <row r="217" spans="1:3">
      <c r="A217" s="9" t="s">
        <v>1592</v>
      </c>
      <c r="B217" s="9" t="s">
        <v>1593</v>
      </c>
      <c r="C217" s="9" t="s">
        <v>622</v>
      </c>
    </row>
    <row r="218" spans="1:3">
      <c r="A218" s="9" t="s">
        <v>1594</v>
      </c>
      <c r="B218" s="9" t="s">
        <v>1595</v>
      </c>
      <c r="C218" s="9" t="s">
        <v>623</v>
      </c>
    </row>
    <row r="219" spans="1:3">
      <c r="A219" s="9" t="s">
        <v>1596</v>
      </c>
      <c r="B219" s="9" t="s">
        <v>1597</v>
      </c>
      <c r="C219" s="9" t="s">
        <v>624</v>
      </c>
    </row>
    <row r="220" spans="1:3">
      <c r="A220" s="9" t="s">
        <v>1598</v>
      </c>
      <c r="B220" s="9" t="s">
        <v>1599</v>
      </c>
      <c r="C220" s="9" t="s">
        <v>625</v>
      </c>
    </row>
    <row r="221" spans="1:3">
      <c r="A221" s="9" t="s">
        <v>1600</v>
      </c>
      <c r="B221" s="9" t="s">
        <v>1601</v>
      </c>
      <c r="C221" s="9" t="s">
        <v>626</v>
      </c>
    </row>
    <row r="222" spans="1:3">
      <c r="A222" s="9" t="s">
        <v>1602</v>
      </c>
      <c r="B222" s="9" t="s">
        <v>1603</v>
      </c>
      <c r="C222" s="9" t="s">
        <v>627</v>
      </c>
    </row>
    <row r="223" spans="1:3">
      <c r="A223" s="9" t="s">
        <v>1604</v>
      </c>
      <c r="B223" s="9" t="s">
        <v>1605</v>
      </c>
      <c r="C223" s="9" t="s">
        <v>762</v>
      </c>
    </row>
    <row r="224" spans="1:3">
      <c r="A224" s="9" t="s">
        <v>1606</v>
      </c>
      <c r="B224" s="9" t="s">
        <v>1607</v>
      </c>
      <c r="C224" s="9" t="s">
        <v>798</v>
      </c>
    </row>
    <row r="225" spans="1:3">
      <c r="A225" s="9" t="s">
        <v>1608</v>
      </c>
      <c r="B225" s="9" t="s">
        <v>1609</v>
      </c>
      <c r="C225" s="9" t="s">
        <v>628</v>
      </c>
    </row>
    <row r="226" spans="1:3">
      <c r="A226" s="9" t="s">
        <v>1610</v>
      </c>
      <c r="B226" s="9" t="s">
        <v>1611</v>
      </c>
      <c r="C226" s="9" t="s">
        <v>763</v>
      </c>
    </row>
    <row r="227" spans="1:3">
      <c r="A227" s="9" t="s">
        <v>1612</v>
      </c>
      <c r="B227" s="9" t="s">
        <v>1613</v>
      </c>
      <c r="C227" s="9" t="s">
        <v>629</v>
      </c>
    </row>
    <row r="228" spans="1:3">
      <c r="A228" s="9" t="s">
        <v>1614</v>
      </c>
      <c r="B228" s="9" t="s">
        <v>1615</v>
      </c>
      <c r="C228" s="9" t="s">
        <v>630</v>
      </c>
    </row>
    <row r="229" spans="1:3">
      <c r="A229" s="9" t="s">
        <v>1616</v>
      </c>
      <c r="B229" s="9" t="s">
        <v>1617</v>
      </c>
      <c r="C229" s="9" t="s">
        <v>631</v>
      </c>
    </row>
    <row r="230" spans="1:3">
      <c r="A230" s="9" t="s">
        <v>1618</v>
      </c>
      <c r="B230" s="9" t="s">
        <v>1619</v>
      </c>
      <c r="C230" s="9" t="s">
        <v>764</v>
      </c>
    </row>
    <row r="231" spans="1:3">
      <c r="A231" s="9" t="s">
        <v>1620</v>
      </c>
      <c r="B231" s="9" t="s">
        <v>1621</v>
      </c>
      <c r="C231" s="9" t="s">
        <v>632</v>
      </c>
    </row>
    <row r="232" spans="1:3">
      <c r="A232" s="9" t="s">
        <v>1622</v>
      </c>
      <c r="B232" s="9" t="s">
        <v>1333</v>
      </c>
      <c r="C232" s="9" t="s">
        <v>780</v>
      </c>
    </row>
    <row r="233" spans="1:3">
      <c r="A233" s="9" t="s">
        <v>1623</v>
      </c>
      <c r="B233" s="9" t="s">
        <v>1335</v>
      </c>
      <c r="C233" s="9" t="s">
        <v>781</v>
      </c>
    </row>
    <row r="234" spans="1:3">
      <c r="A234" s="9" t="s">
        <v>1624</v>
      </c>
      <c r="B234" s="9" t="s">
        <v>1337</v>
      </c>
      <c r="C234" s="9" t="s">
        <v>788</v>
      </c>
    </row>
    <row r="235" spans="1:3">
      <c r="A235" s="9" t="s">
        <v>1625</v>
      </c>
      <c r="B235" s="9" t="s">
        <v>1339</v>
      </c>
      <c r="C235" s="9" t="s">
        <v>789</v>
      </c>
    </row>
    <row r="236" spans="1:3">
      <c r="A236" s="9" t="s">
        <v>1626</v>
      </c>
      <c r="B236" s="9" t="s">
        <v>1341</v>
      </c>
      <c r="C236" s="9" t="s">
        <v>782</v>
      </c>
    </row>
    <row r="237" spans="1:3">
      <c r="A237" s="9" t="s">
        <v>1627</v>
      </c>
      <c r="B237" s="9" t="s">
        <v>1343</v>
      </c>
      <c r="C237" s="9" t="s">
        <v>783</v>
      </c>
    </row>
    <row r="238" spans="1:3">
      <c r="A238" s="9" t="s">
        <v>1628</v>
      </c>
      <c r="B238" s="9" t="s">
        <v>1345</v>
      </c>
      <c r="C238" s="9" t="s">
        <v>790</v>
      </c>
    </row>
    <row r="239" spans="1:3">
      <c r="A239" s="9" t="s">
        <v>1629</v>
      </c>
      <c r="B239" s="9" t="s">
        <v>1347</v>
      </c>
      <c r="C239" s="9" t="s">
        <v>791</v>
      </c>
    </row>
    <row r="240" spans="1:3">
      <c r="A240" s="9" t="s">
        <v>1630</v>
      </c>
      <c r="B240" s="9" t="s">
        <v>1631</v>
      </c>
      <c r="C240" s="9" t="s">
        <v>633</v>
      </c>
    </row>
    <row r="241" spans="1:3">
      <c r="A241" s="9" t="s">
        <v>1632</v>
      </c>
      <c r="B241" s="9" t="s">
        <v>1633</v>
      </c>
      <c r="C241" s="9" t="s">
        <v>634</v>
      </c>
    </row>
    <row r="242" spans="1:3">
      <c r="A242" s="9" t="s">
        <v>1634</v>
      </c>
      <c r="B242" s="9" t="s">
        <v>1635</v>
      </c>
      <c r="C242" s="9" t="s">
        <v>635</v>
      </c>
    </row>
    <row r="243" spans="1:3">
      <c r="A243" s="9" t="s">
        <v>1636</v>
      </c>
      <c r="B243" s="9" t="s">
        <v>1637</v>
      </c>
      <c r="C243" s="9" t="s">
        <v>636</v>
      </c>
    </row>
    <row r="244" spans="1:3">
      <c r="A244" s="9" t="s">
        <v>1638</v>
      </c>
      <c r="B244" s="9" t="s">
        <v>1639</v>
      </c>
      <c r="C244" s="9" t="s">
        <v>637</v>
      </c>
    </row>
    <row r="245" spans="1:3">
      <c r="A245" s="9" t="s">
        <v>1640</v>
      </c>
      <c r="B245" s="9" t="s">
        <v>1641</v>
      </c>
      <c r="C245" s="9" t="s">
        <v>638</v>
      </c>
    </row>
    <row r="246" spans="1:3">
      <c r="A246" s="9" t="s">
        <v>1642</v>
      </c>
      <c r="B246" s="9" t="s">
        <v>1643</v>
      </c>
      <c r="C246" s="9" t="s">
        <v>639</v>
      </c>
    </row>
    <row r="247" spans="1:3">
      <c r="A247" s="9" t="s">
        <v>1644</v>
      </c>
      <c r="B247" s="9" t="s">
        <v>1645</v>
      </c>
      <c r="C247" s="9" t="s">
        <v>640</v>
      </c>
    </row>
    <row r="248" spans="1:3">
      <c r="A248" s="9" t="s">
        <v>1646</v>
      </c>
      <c r="B248" s="9" t="s">
        <v>1647</v>
      </c>
      <c r="C248" s="9" t="s">
        <v>641</v>
      </c>
    </row>
    <row r="249" spans="1:3">
      <c r="A249" s="9" t="s">
        <v>1648</v>
      </c>
      <c r="B249" s="9" t="s">
        <v>1649</v>
      </c>
      <c r="C249" s="9" t="s">
        <v>642</v>
      </c>
    </row>
    <row r="250" spans="1:3">
      <c r="A250" s="9" t="s">
        <v>1650</v>
      </c>
      <c r="B250" s="9" t="s">
        <v>1651</v>
      </c>
      <c r="C250" s="9" t="s">
        <v>643</v>
      </c>
    </row>
    <row r="251" spans="1:3">
      <c r="A251" s="9" t="s">
        <v>1652</v>
      </c>
      <c r="B251" s="9" t="s">
        <v>1653</v>
      </c>
      <c r="C251" s="9" t="s">
        <v>644</v>
      </c>
    </row>
    <row r="252" spans="1:3">
      <c r="A252" s="9" t="s">
        <v>1654</v>
      </c>
      <c r="B252" s="9" t="s">
        <v>1655</v>
      </c>
      <c r="C252" s="9" t="s">
        <v>645</v>
      </c>
    </row>
    <row r="253" spans="1:3">
      <c r="A253" s="9" t="s">
        <v>1656</v>
      </c>
      <c r="B253" s="9" t="s">
        <v>1657</v>
      </c>
      <c r="C253" s="9" t="s">
        <v>765</v>
      </c>
    </row>
    <row r="254" spans="1:3">
      <c r="A254" s="9" t="s">
        <v>1658</v>
      </c>
      <c r="B254" s="9" t="s">
        <v>1659</v>
      </c>
      <c r="C254" s="9" t="s">
        <v>646</v>
      </c>
    </row>
    <row r="255" spans="1:3">
      <c r="A255" s="9" t="s">
        <v>1660</v>
      </c>
      <c r="B255" s="9" t="s">
        <v>1661</v>
      </c>
      <c r="C255" s="9" t="s">
        <v>647</v>
      </c>
    </row>
    <row r="256" spans="1:3">
      <c r="A256" s="9" t="s">
        <v>1662</v>
      </c>
      <c r="B256" s="9" t="s">
        <v>1663</v>
      </c>
      <c r="C256" s="9" t="s">
        <v>648</v>
      </c>
    </row>
    <row r="257" spans="1:3">
      <c r="A257" s="9" t="s">
        <v>1664</v>
      </c>
      <c r="B257" s="9" t="s">
        <v>1665</v>
      </c>
      <c r="C257" s="9" t="s">
        <v>649</v>
      </c>
    </row>
    <row r="258" spans="1:3">
      <c r="A258" s="9" t="s">
        <v>1666</v>
      </c>
      <c r="B258" s="9" t="s">
        <v>1667</v>
      </c>
      <c r="C258" s="9" t="s">
        <v>766</v>
      </c>
    </row>
    <row r="259" spans="1:3">
      <c r="A259" s="9" t="s">
        <v>1668</v>
      </c>
      <c r="B259" s="9" t="s">
        <v>1669</v>
      </c>
      <c r="C259" s="9" t="s">
        <v>767</v>
      </c>
    </row>
    <row r="260" spans="1:3">
      <c r="A260" s="9" t="s">
        <v>1670</v>
      </c>
      <c r="B260" s="9" t="s">
        <v>1671</v>
      </c>
      <c r="C260" s="9" t="s">
        <v>650</v>
      </c>
    </row>
    <row r="261" spans="1:3">
      <c r="A261" s="9" t="s">
        <v>1672</v>
      </c>
      <c r="B261" s="9" t="s">
        <v>1673</v>
      </c>
      <c r="C261" s="9" t="s">
        <v>768</v>
      </c>
    </row>
    <row r="262" spans="1:3">
      <c r="A262" s="9" t="s">
        <v>1674</v>
      </c>
      <c r="B262" s="9" t="s">
        <v>1675</v>
      </c>
      <c r="C262" s="9" t="s">
        <v>769</v>
      </c>
    </row>
    <row r="263" spans="1:3">
      <c r="A263" s="9" t="s">
        <v>1676</v>
      </c>
      <c r="B263" s="9" t="s">
        <v>1677</v>
      </c>
      <c r="C263" s="9" t="s">
        <v>770</v>
      </c>
    </row>
    <row r="264" spans="1:3">
      <c r="A264" s="9" t="s">
        <v>1678</v>
      </c>
      <c r="B264" s="9" t="s">
        <v>1679</v>
      </c>
      <c r="C264" s="9" t="s">
        <v>771</v>
      </c>
    </row>
    <row r="265" spans="1:3">
      <c r="A265" s="9" t="s">
        <v>1680</v>
      </c>
      <c r="B265" s="9" t="s">
        <v>1681</v>
      </c>
      <c r="C265" s="9" t="s">
        <v>651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2"/>
  <sheetViews>
    <sheetView workbookViewId="0">
      <selection activeCell="C38" sqref="C38"/>
    </sheetView>
  </sheetViews>
  <sheetFormatPr defaultRowHeight="15"/>
  <cols>
    <col min="1" max="1" width="15.42578125" bestFit="1" customWidth="1"/>
    <col min="2" max="2" width="35.85546875" bestFit="1" customWidth="1"/>
    <col min="3" max="3" width="42.85546875" bestFit="1" customWidth="1"/>
    <col min="6" max="6" width="16.140625" bestFit="1" customWidth="1"/>
    <col min="7" max="7" width="45.85546875" customWidth="1"/>
  </cols>
  <sheetData>
    <row r="1" spans="1:7">
      <c r="A1" s="11" t="s">
        <v>3082</v>
      </c>
      <c r="B1" s="11" t="s">
        <v>3083</v>
      </c>
      <c r="C1" s="11" t="s">
        <v>3084</v>
      </c>
    </row>
    <row r="2" spans="1:7">
      <c r="A2" s="7" t="s">
        <v>1693</v>
      </c>
      <c r="B2" s="7" t="s">
        <v>1694</v>
      </c>
      <c r="C2" s="7" t="s">
        <v>1695</v>
      </c>
      <c r="F2" s="3" t="s">
        <v>2595</v>
      </c>
      <c r="G2" s="3"/>
    </row>
    <row r="3" spans="1:7">
      <c r="A3" s="7" t="s">
        <v>1696</v>
      </c>
      <c r="B3" s="7" t="s">
        <v>1697</v>
      </c>
      <c r="C3" s="7" t="s">
        <v>1698</v>
      </c>
      <c r="F3" s="3" t="s">
        <v>3071</v>
      </c>
      <c r="G3" s="3" t="s">
        <v>3081</v>
      </c>
    </row>
    <row r="4" spans="1:7">
      <c r="A4" s="7" t="s">
        <v>1699</v>
      </c>
      <c r="B4" s="7" t="s">
        <v>1700</v>
      </c>
      <c r="C4" s="7" t="s">
        <v>1701</v>
      </c>
      <c r="F4" s="3" t="s">
        <v>3072</v>
      </c>
      <c r="G4" s="4"/>
    </row>
    <row r="5" spans="1:7">
      <c r="A5" s="7" t="s">
        <v>1702</v>
      </c>
      <c r="B5" s="7" t="s">
        <v>1700</v>
      </c>
      <c r="C5" s="7" t="s">
        <v>1703</v>
      </c>
      <c r="F5" s="6" t="s">
        <v>3075</v>
      </c>
      <c r="G5" s="3" t="s">
        <v>3080</v>
      </c>
    </row>
    <row r="6" spans="1:7">
      <c r="A6" s="7" t="s">
        <v>1704</v>
      </c>
      <c r="B6" s="7" t="s">
        <v>1705</v>
      </c>
      <c r="C6" s="7" t="s">
        <v>1706</v>
      </c>
    </row>
    <row r="7" spans="1:7">
      <c r="A7" s="7" t="s">
        <v>1707</v>
      </c>
      <c r="B7" s="7" t="s">
        <v>1708</v>
      </c>
      <c r="C7" s="7" t="s">
        <v>1709</v>
      </c>
    </row>
    <row r="8" spans="1:7">
      <c r="A8" s="7" t="s">
        <v>1710</v>
      </c>
      <c r="B8" s="7" t="s">
        <v>1708</v>
      </c>
      <c r="C8" s="7" t="s">
        <v>1711</v>
      </c>
    </row>
    <row r="9" spans="1:7">
      <c r="A9" s="7" t="s">
        <v>1712</v>
      </c>
      <c r="B9" s="7" t="s">
        <v>1713</v>
      </c>
      <c r="C9" s="7" t="s">
        <v>1714</v>
      </c>
    </row>
    <row r="10" spans="1:7">
      <c r="A10" s="7" t="s">
        <v>1715</v>
      </c>
      <c r="B10" s="7" t="s">
        <v>1716</v>
      </c>
      <c r="C10" s="7" t="s">
        <v>1717</v>
      </c>
    </row>
    <row r="11" spans="1:7">
      <c r="A11" s="7" t="s">
        <v>1718</v>
      </c>
      <c r="B11" s="7" t="s">
        <v>1719</v>
      </c>
      <c r="C11" s="7" t="s">
        <v>9</v>
      </c>
    </row>
    <row r="12" spans="1:7">
      <c r="A12" s="7" t="s">
        <v>1720</v>
      </c>
      <c r="B12" s="7" t="s">
        <v>1721</v>
      </c>
      <c r="C12" s="7" t="s">
        <v>1722</v>
      </c>
    </row>
    <row r="13" spans="1:7">
      <c r="A13" s="7" t="s">
        <v>1723</v>
      </c>
      <c r="B13" s="7" t="s">
        <v>1724</v>
      </c>
      <c r="C13" s="7" t="s">
        <v>1725</v>
      </c>
    </row>
    <row r="14" spans="1:7">
      <c r="A14" s="7" t="s">
        <v>1726</v>
      </c>
      <c r="B14" s="7" t="s">
        <v>1727</v>
      </c>
      <c r="C14" s="7" t="s">
        <v>1728</v>
      </c>
    </row>
    <row r="15" spans="1:7">
      <c r="A15" s="7" t="s">
        <v>1729</v>
      </c>
      <c r="B15" s="7" t="s">
        <v>1730</v>
      </c>
      <c r="C15" s="7" t="s">
        <v>1731</v>
      </c>
    </row>
    <row r="16" spans="1:7">
      <c r="A16" s="7" t="s">
        <v>1732</v>
      </c>
      <c r="B16" s="7" t="s">
        <v>1733</v>
      </c>
      <c r="C16" s="7" t="s">
        <v>1734</v>
      </c>
    </row>
    <row r="17" spans="1:3">
      <c r="A17" s="7" t="s">
        <v>1735</v>
      </c>
      <c r="B17" s="7" t="s">
        <v>1736</v>
      </c>
      <c r="C17" s="7" t="s">
        <v>1737</v>
      </c>
    </row>
    <row r="18" spans="1:3">
      <c r="A18" s="7" t="s">
        <v>1738</v>
      </c>
      <c r="B18" s="7" t="s">
        <v>1739</v>
      </c>
      <c r="C18" s="7" t="s">
        <v>1740</v>
      </c>
    </row>
    <row r="19" spans="1:3">
      <c r="A19" s="7" t="s">
        <v>1741</v>
      </c>
      <c r="B19" s="7" t="s">
        <v>1742</v>
      </c>
      <c r="C19" s="7" t="s">
        <v>1743</v>
      </c>
    </row>
    <row r="20" spans="1:3">
      <c r="A20" s="7" t="s">
        <v>1744</v>
      </c>
      <c r="B20" s="7" t="s">
        <v>1745</v>
      </c>
      <c r="C20" s="7" t="s">
        <v>15</v>
      </c>
    </row>
    <row r="21" spans="1:3">
      <c r="A21" s="7" t="s">
        <v>1746</v>
      </c>
      <c r="B21" s="7" t="s">
        <v>1747</v>
      </c>
      <c r="C21" s="7" t="s">
        <v>1748</v>
      </c>
    </row>
    <row r="22" spans="1:3">
      <c r="A22" s="7" t="s">
        <v>1749</v>
      </c>
      <c r="B22" s="7" t="s">
        <v>1750</v>
      </c>
      <c r="C22" s="7" t="s">
        <v>1751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7"/>
  <sheetViews>
    <sheetView workbookViewId="0">
      <selection activeCell="C38" sqref="C38"/>
    </sheetView>
  </sheetViews>
  <sheetFormatPr defaultRowHeight="15"/>
  <cols>
    <col min="1" max="1" width="14" bestFit="1" customWidth="1"/>
    <col min="2" max="2" width="28.28515625" bestFit="1" customWidth="1"/>
    <col min="3" max="3" width="32.28515625" bestFit="1" customWidth="1"/>
    <col min="6" max="6" width="22.7109375" customWidth="1"/>
    <col min="7" max="7" width="52.42578125" customWidth="1"/>
  </cols>
  <sheetData>
    <row r="1" spans="1:7">
      <c r="A1" s="11" t="s">
        <v>3085</v>
      </c>
      <c r="B1" s="11" t="s">
        <v>3086</v>
      </c>
      <c r="C1" s="11" t="s">
        <v>3087</v>
      </c>
    </row>
    <row r="2" spans="1:7">
      <c r="A2" s="7" t="s">
        <v>1752</v>
      </c>
      <c r="B2" s="7" t="s">
        <v>1753</v>
      </c>
      <c r="C2" s="7" t="s">
        <v>1</v>
      </c>
      <c r="F2" s="3" t="s">
        <v>2595</v>
      </c>
      <c r="G2" s="3"/>
    </row>
    <row r="3" spans="1:7">
      <c r="A3" s="7" t="s">
        <v>1754</v>
      </c>
      <c r="B3" s="7" t="s">
        <v>1755</v>
      </c>
      <c r="C3" s="7" t="s">
        <v>1756</v>
      </c>
      <c r="F3" s="3" t="s">
        <v>3071</v>
      </c>
      <c r="G3" s="3" t="s">
        <v>3113</v>
      </c>
    </row>
    <row r="4" spans="1:7">
      <c r="A4" s="7" t="s">
        <v>1757</v>
      </c>
      <c r="B4" s="7" t="s">
        <v>1758</v>
      </c>
      <c r="C4" s="7" t="s">
        <v>1759</v>
      </c>
      <c r="F4" s="3" t="s">
        <v>3072</v>
      </c>
      <c r="G4" s="4"/>
    </row>
    <row r="5" spans="1:7">
      <c r="A5" s="7" t="s">
        <v>1760</v>
      </c>
      <c r="B5" s="7" t="s">
        <v>1761</v>
      </c>
      <c r="C5" s="7" t="s">
        <v>1762</v>
      </c>
      <c r="F5" s="6" t="s">
        <v>3075</v>
      </c>
      <c r="G5" s="3" t="s">
        <v>3088</v>
      </c>
    </row>
    <row r="6" spans="1:7">
      <c r="A6" s="7" t="s">
        <v>1763</v>
      </c>
      <c r="B6" s="7" t="s">
        <v>1764</v>
      </c>
      <c r="C6" s="7" t="s">
        <v>5</v>
      </c>
    </row>
    <row r="7" spans="1:7">
      <c r="A7" s="7" t="s">
        <v>1765</v>
      </c>
      <c r="B7" s="7" t="s">
        <v>1766</v>
      </c>
      <c r="C7" s="7" t="s">
        <v>1767</v>
      </c>
    </row>
    <row r="8" spans="1:7">
      <c r="A8" s="7" t="s">
        <v>1768</v>
      </c>
      <c r="B8" s="7" t="s">
        <v>1769</v>
      </c>
      <c r="C8" s="7" t="s">
        <v>1770</v>
      </c>
    </row>
    <row r="9" spans="1:7">
      <c r="A9" s="7" t="s">
        <v>1771</v>
      </c>
      <c r="B9" s="7" t="s">
        <v>1772</v>
      </c>
      <c r="C9" s="7" t="s">
        <v>7</v>
      </c>
    </row>
    <row r="10" spans="1:7">
      <c r="A10" s="7" t="s">
        <v>1773</v>
      </c>
      <c r="B10" s="7" t="s">
        <v>1774</v>
      </c>
      <c r="C10" s="7" t="s">
        <v>8</v>
      </c>
    </row>
    <row r="11" spans="1:7">
      <c r="A11" s="7" t="s">
        <v>1775</v>
      </c>
      <c r="B11" s="7" t="s">
        <v>1776</v>
      </c>
      <c r="C11" s="7" t="s">
        <v>10</v>
      </c>
    </row>
    <row r="12" spans="1:7">
      <c r="A12" s="7" t="s">
        <v>1777</v>
      </c>
      <c r="B12" s="7" t="s">
        <v>1778</v>
      </c>
      <c r="C12" s="7" t="s">
        <v>11</v>
      </c>
    </row>
    <row r="13" spans="1:7">
      <c r="A13" s="7" t="s">
        <v>1779</v>
      </c>
      <c r="B13" s="7" t="s">
        <v>1780</v>
      </c>
      <c r="C13" s="7" t="s">
        <v>1781</v>
      </c>
    </row>
    <row r="14" spans="1:7">
      <c r="A14" s="7" t="s">
        <v>1782</v>
      </c>
      <c r="B14" s="7" t="s">
        <v>1783</v>
      </c>
      <c r="C14" s="7" t="s">
        <v>12</v>
      </c>
    </row>
    <row r="15" spans="1:7">
      <c r="A15" s="7" t="s">
        <v>1784</v>
      </c>
      <c r="B15" s="7" t="s">
        <v>1785</v>
      </c>
      <c r="C15" s="7" t="s">
        <v>1786</v>
      </c>
    </row>
    <row r="16" spans="1:7">
      <c r="A16" s="7" t="s">
        <v>1787</v>
      </c>
      <c r="B16" s="7" t="s">
        <v>1788</v>
      </c>
      <c r="C16" s="7" t="s">
        <v>13</v>
      </c>
    </row>
    <row r="17" spans="1:3">
      <c r="A17" s="7" t="s">
        <v>1744</v>
      </c>
      <c r="B17" s="7" t="s">
        <v>1789</v>
      </c>
      <c r="C17" s="7" t="s">
        <v>14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8"/>
  <sheetViews>
    <sheetView workbookViewId="0">
      <selection activeCell="C38" sqref="C38"/>
    </sheetView>
  </sheetViews>
  <sheetFormatPr defaultRowHeight="15"/>
  <cols>
    <col min="1" max="1" width="12.7109375" bestFit="1" customWidth="1"/>
    <col min="2" max="2" width="21.5703125" bestFit="1" customWidth="1"/>
    <col min="3" max="3" width="27.140625" bestFit="1" customWidth="1"/>
    <col min="6" max="6" width="20.7109375" customWidth="1"/>
    <col min="7" max="7" width="48.7109375" customWidth="1"/>
  </cols>
  <sheetData>
    <row r="1" spans="1:7">
      <c r="A1" s="11" t="s">
        <v>3089</v>
      </c>
      <c r="B1" s="11" t="s">
        <v>3090</v>
      </c>
      <c r="C1" s="11" t="s">
        <v>3091</v>
      </c>
    </row>
    <row r="2" spans="1:7">
      <c r="A2" s="7" t="s">
        <v>1790</v>
      </c>
      <c r="B2" s="7" t="s">
        <v>1791</v>
      </c>
      <c r="C2" s="7" t="s">
        <v>1792</v>
      </c>
      <c r="F2" s="3" t="s">
        <v>2595</v>
      </c>
      <c r="G2" s="3"/>
    </row>
    <row r="3" spans="1:7">
      <c r="A3" s="7" t="s">
        <v>1793</v>
      </c>
      <c r="B3" s="7" t="s">
        <v>1794</v>
      </c>
      <c r="C3" s="7" t="s">
        <v>1795</v>
      </c>
      <c r="F3" s="3" t="s">
        <v>3071</v>
      </c>
      <c r="G3" s="3" t="s">
        <v>3114</v>
      </c>
    </row>
    <row r="4" spans="1:7">
      <c r="A4" s="7" t="s">
        <v>1796</v>
      </c>
      <c r="B4" s="7" t="s">
        <v>1797</v>
      </c>
      <c r="C4" s="7" t="s">
        <v>1798</v>
      </c>
      <c r="F4" s="3" t="s">
        <v>3072</v>
      </c>
      <c r="G4" s="4"/>
    </row>
    <row r="5" spans="1:7">
      <c r="A5" s="7" t="s">
        <v>1799</v>
      </c>
      <c r="B5" s="7" t="s">
        <v>1800</v>
      </c>
      <c r="C5" s="7" t="s">
        <v>1801</v>
      </c>
      <c r="F5" s="6" t="s">
        <v>3075</v>
      </c>
      <c r="G5" s="3" t="s">
        <v>3092</v>
      </c>
    </row>
    <row r="6" spans="1:7">
      <c r="A6" s="7" t="s">
        <v>1802</v>
      </c>
      <c r="B6" s="7" t="s">
        <v>1803</v>
      </c>
      <c r="C6" s="7" t="s">
        <v>1804</v>
      </c>
    </row>
    <row r="7" spans="1:7">
      <c r="A7" s="7" t="s">
        <v>1805</v>
      </c>
      <c r="B7" s="7" t="s">
        <v>1806</v>
      </c>
      <c r="C7" s="7" t="s">
        <v>1807</v>
      </c>
    </row>
    <row r="8" spans="1:7">
      <c r="A8" s="7" t="s">
        <v>1808</v>
      </c>
      <c r="B8" s="7" t="s">
        <v>1809</v>
      </c>
      <c r="C8" s="7" t="s">
        <v>1810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46"/>
  <sheetViews>
    <sheetView workbookViewId="0">
      <selection activeCell="C38" sqref="C38"/>
    </sheetView>
  </sheetViews>
  <sheetFormatPr defaultRowHeight="15"/>
  <cols>
    <col min="1" max="1" width="17.140625" bestFit="1" customWidth="1"/>
    <col min="2" max="2" width="34.7109375" bestFit="1" customWidth="1"/>
    <col min="3" max="3" width="37.28515625" bestFit="1" customWidth="1"/>
    <col min="7" max="7" width="19.28515625" customWidth="1"/>
    <col min="8" max="8" width="39.28515625" customWidth="1"/>
  </cols>
  <sheetData>
    <row r="1" spans="1:8">
      <c r="A1" s="11" t="s">
        <v>3094</v>
      </c>
      <c r="B1" s="11" t="s">
        <v>3095</v>
      </c>
      <c r="C1" s="11" t="s">
        <v>3096</v>
      </c>
    </row>
    <row r="2" spans="1:8">
      <c r="A2" s="7" t="s">
        <v>1811</v>
      </c>
      <c r="B2" s="7" t="s">
        <v>1812</v>
      </c>
      <c r="C2" s="7" t="s">
        <v>822</v>
      </c>
    </row>
    <row r="3" spans="1:8">
      <c r="A3" s="7" t="s">
        <v>1813</v>
      </c>
      <c r="B3" s="7" t="s">
        <v>1814</v>
      </c>
      <c r="C3" s="7" t="s">
        <v>823</v>
      </c>
      <c r="G3" s="3" t="s">
        <v>2595</v>
      </c>
      <c r="H3" s="3"/>
    </row>
    <row r="4" spans="1:8">
      <c r="A4" s="7" t="s">
        <v>1815</v>
      </c>
      <c r="B4" s="7" t="s">
        <v>1816</v>
      </c>
      <c r="C4" s="7" t="s">
        <v>824</v>
      </c>
      <c r="G4" s="3" t="s">
        <v>3071</v>
      </c>
      <c r="H4" s="3" t="s">
        <v>3115</v>
      </c>
    </row>
    <row r="5" spans="1:8">
      <c r="A5" s="7" t="s">
        <v>1817</v>
      </c>
      <c r="B5" s="7" t="s">
        <v>1818</v>
      </c>
      <c r="C5" s="7" t="s">
        <v>825</v>
      </c>
      <c r="G5" s="3" t="s">
        <v>3072</v>
      </c>
      <c r="H5" s="4" t="s">
        <v>3342</v>
      </c>
    </row>
    <row r="6" spans="1:8">
      <c r="A6" s="7" t="s">
        <v>1819</v>
      </c>
      <c r="B6" s="7" t="s">
        <v>1820</v>
      </c>
      <c r="C6" s="7" t="s">
        <v>826</v>
      </c>
      <c r="G6" s="6" t="s">
        <v>3075</v>
      </c>
      <c r="H6" s="3" t="s">
        <v>3093</v>
      </c>
    </row>
    <row r="7" spans="1:8">
      <c r="A7" s="7" t="s">
        <v>1821</v>
      </c>
      <c r="B7" s="7" t="s">
        <v>1822</v>
      </c>
      <c r="C7" s="7" t="s">
        <v>827</v>
      </c>
    </row>
    <row r="8" spans="1:8">
      <c r="A8" s="7" t="s">
        <v>1823</v>
      </c>
      <c r="B8" s="7" t="s">
        <v>1167</v>
      </c>
      <c r="C8" s="7" t="s">
        <v>828</v>
      </c>
    </row>
    <row r="9" spans="1:8">
      <c r="A9" s="7" t="s">
        <v>1824</v>
      </c>
      <c r="B9" s="7" t="s">
        <v>1825</v>
      </c>
      <c r="C9" s="7" t="s">
        <v>829</v>
      </c>
    </row>
    <row r="10" spans="1:8">
      <c r="A10" s="7" t="s">
        <v>1826</v>
      </c>
      <c r="B10" s="7" t="s">
        <v>1827</v>
      </c>
      <c r="C10" s="7" t="s">
        <v>830</v>
      </c>
    </row>
    <row r="11" spans="1:8">
      <c r="A11" s="7" t="s">
        <v>1828</v>
      </c>
      <c r="B11" s="7" t="s">
        <v>1829</v>
      </c>
      <c r="C11" s="7" t="s">
        <v>831</v>
      </c>
    </row>
    <row r="12" spans="1:8">
      <c r="A12" s="7" t="s">
        <v>1830</v>
      </c>
      <c r="B12" s="7" t="s">
        <v>1831</v>
      </c>
      <c r="C12" s="7" t="s">
        <v>832</v>
      </c>
    </row>
    <row r="13" spans="1:8">
      <c r="A13" s="7" t="s">
        <v>1832</v>
      </c>
      <c r="B13" s="7" t="s">
        <v>1833</v>
      </c>
      <c r="C13" s="7" t="s">
        <v>833</v>
      </c>
    </row>
    <row r="14" spans="1:8">
      <c r="A14" s="7" t="s">
        <v>1834</v>
      </c>
      <c r="B14" s="7" t="s">
        <v>1835</v>
      </c>
      <c r="C14" s="7" t="s">
        <v>834</v>
      </c>
    </row>
    <row r="15" spans="1:8">
      <c r="A15" s="7" t="s">
        <v>1836</v>
      </c>
      <c r="B15" s="7" t="s">
        <v>1837</v>
      </c>
      <c r="C15" s="7" t="s">
        <v>835</v>
      </c>
    </row>
    <row r="16" spans="1:8">
      <c r="A16" s="7" t="s">
        <v>1838</v>
      </c>
      <c r="B16" s="7" t="s">
        <v>1839</v>
      </c>
      <c r="C16" s="7" t="s">
        <v>836</v>
      </c>
    </row>
    <row r="17" spans="1:3">
      <c r="A17" s="7" t="s">
        <v>1840</v>
      </c>
      <c r="B17" s="7" t="s">
        <v>1841</v>
      </c>
      <c r="C17" s="7" t="s">
        <v>837</v>
      </c>
    </row>
    <row r="18" spans="1:3">
      <c r="A18" s="7" t="s">
        <v>1842</v>
      </c>
      <c r="B18" s="7" t="s">
        <v>1843</v>
      </c>
      <c r="C18" s="7" t="s">
        <v>838</v>
      </c>
    </row>
    <row r="19" spans="1:3">
      <c r="A19" s="7" t="s">
        <v>1844</v>
      </c>
      <c r="B19" s="7" t="s">
        <v>1845</v>
      </c>
      <c r="C19" s="7" t="s">
        <v>839</v>
      </c>
    </row>
    <row r="20" spans="1:3">
      <c r="A20" s="7" t="s">
        <v>1846</v>
      </c>
      <c r="B20" s="7" t="s">
        <v>1847</v>
      </c>
      <c r="C20" s="7" t="s">
        <v>840</v>
      </c>
    </row>
    <row r="21" spans="1:3">
      <c r="A21" s="7" t="s">
        <v>1848</v>
      </c>
      <c r="B21" s="7" t="s">
        <v>1849</v>
      </c>
      <c r="C21" s="7" t="s">
        <v>841</v>
      </c>
    </row>
    <row r="22" spans="1:3">
      <c r="A22" s="7" t="s">
        <v>1850</v>
      </c>
      <c r="B22" s="7" t="s">
        <v>1851</v>
      </c>
      <c r="C22" s="7" t="s">
        <v>842</v>
      </c>
    </row>
    <row r="23" spans="1:3">
      <c r="A23" s="7" t="s">
        <v>1852</v>
      </c>
      <c r="B23" s="7" t="s">
        <v>1853</v>
      </c>
      <c r="C23" s="7" t="s">
        <v>843</v>
      </c>
    </row>
    <row r="24" spans="1:3">
      <c r="A24" s="7" t="s">
        <v>1854</v>
      </c>
      <c r="B24" s="7" t="s">
        <v>1855</v>
      </c>
      <c r="C24" s="7" t="s">
        <v>844</v>
      </c>
    </row>
    <row r="25" spans="1:3">
      <c r="A25" s="7" t="s">
        <v>1856</v>
      </c>
      <c r="B25" s="7" t="s">
        <v>1857</v>
      </c>
      <c r="C25" s="7" t="s">
        <v>845</v>
      </c>
    </row>
    <row r="26" spans="1:3">
      <c r="A26" s="7" t="s">
        <v>1858</v>
      </c>
      <c r="B26" s="7" t="s">
        <v>1859</v>
      </c>
      <c r="C26" s="7" t="s">
        <v>846</v>
      </c>
    </row>
    <row r="27" spans="1:3">
      <c r="A27" s="7" t="s">
        <v>1860</v>
      </c>
      <c r="B27" s="7" t="s">
        <v>1861</v>
      </c>
      <c r="C27" s="7" t="s">
        <v>847</v>
      </c>
    </row>
    <row r="28" spans="1:3">
      <c r="A28" s="7" t="s">
        <v>1862</v>
      </c>
      <c r="B28" s="7" t="s">
        <v>1863</v>
      </c>
      <c r="C28" s="7" t="s">
        <v>848</v>
      </c>
    </row>
    <row r="29" spans="1:3">
      <c r="A29" s="7" t="s">
        <v>1864</v>
      </c>
      <c r="B29" s="7" t="s">
        <v>1865</v>
      </c>
      <c r="C29" s="7" t="s">
        <v>849</v>
      </c>
    </row>
    <row r="30" spans="1:3">
      <c r="A30" s="7" t="s">
        <v>1866</v>
      </c>
      <c r="B30" s="7" t="s">
        <v>1867</v>
      </c>
      <c r="C30" s="7" t="s">
        <v>850</v>
      </c>
    </row>
    <row r="31" spans="1:3">
      <c r="A31" s="7" t="s">
        <v>1868</v>
      </c>
      <c r="B31" s="7" t="s">
        <v>1869</v>
      </c>
      <c r="C31" s="7" t="s">
        <v>851</v>
      </c>
    </row>
    <row r="32" spans="1:3">
      <c r="A32" s="7" t="s">
        <v>1870</v>
      </c>
      <c r="B32" s="7" t="s">
        <v>1871</v>
      </c>
      <c r="C32" s="7" t="s">
        <v>852</v>
      </c>
    </row>
    <row r="33" spans="1:3">
      <c r="A33" s="7" t="s">
        <v>1872</v>
      </c>
      <c r="B33" s="7" t="s">
        <v>1873</v>
      </c>
      <c r="C33" s="7" t="s">
        <v>853</v>
      </c>
    </row>
    <row r="34" spans="1:3">
      <c r="A34" s="7" t="s">
        <v>1874</v>
      </c>
      <c r="B34" s="7" t="s">
        <v>1875</v>
      </c>
      <c r="C34" s="7" t="s">
        <v>854</v>
      </c>
    </row>
    <row r="35" spans="1:3">
      <c r="A35" s="7" t="s">
        <v>1876</v>
      </c>
      <c r="B35" s="7" t="s">
        <v>1877</v>
      </c>
      <c r="C35" s="7" t="s">
        <v>855</v>
      </c>
    </row>
    <row r="36" spans="1:3">
      <c r="A36" s="7" t="s">
        <v>1878</v>
      </c>
      <c r="B36" s="7" t="s">
        <v>1879</v>
      </c>
      <c r="C36" s="7" t="s">
        <v>856</v>
      </c>
    </row>
    <row r="37" spans="1:3">
      <c r="A37" s="7" t="s">
        <v>1880</v>
      </c>
      <c r="B37" s="7" t="s">
        <v>1881</v>
      </c>
      <c r="C37" s="7" t="s">
        <v>857</v>
      </c>
    </row>
    <row r="38" spans="1:3">
      <c r="A38" s="7" t="s">
        <v>1882</v>
      </c>
      <c r="B38" s="7" t="s">
        <v>1883</v>
      </c>
      <c r="C38" s="7" t="s">
        <v>858</v>
      </c>
    </row>
    <row r="39" spans="1:3">
      <c r="A39" s="7" t="s">
        <v>1884</v>
      </c>
      <c r="B39" s="7" t="s">
        <v>1885</v>
      </c>
      <c r="C39" s="7" t="s">
        <v>859</v>
      </c>
    </row>
    <row r="40" spans="1:3">
      <c r="A40" s="7" t="s">
        <v>1886</v>
      </c>
      <c r="B40" s="7" t="s">
        <v>1887</v>
      </c>
      <c r="C40" s="7" t="s">
        <v>860</v>
      </c>
    </row>
    <row r="41" spans="1:3">
      <c r="A41" s="7" t="s">
        <v>1888</v>
      </c>
      <c r="B41" s="7" t="s">
        <v>1889</v>
      </c>
      <c r="C41" s="7" t="s">
        <v>861</v>
      </c>
    </row>
    <row r="42" spans="1:3">
      <c r="A42" s="7" t="s">
        <v>1890</v>
      </c>
      <c r="B42" s="7" t="s">
        <v>1891</v>
      </c>
      <c r="C42" s="7" t="s">
        <v>862</v>
      </c>
    </row>
    <row r="43" spans="1:3">
      <c r="A43" s="7" t="s">
        <v>1892</v>
      </c>
      <c r="B43" s="7" t="s">
        <v>1893</v>
      </c>
      <c r="C43" s="7" t="s">
        <v>863</v>
      </c>
    </row>
    <row r="44" spans="1:3">
      <c r="A44" s="7" t="s">
        <v>1894</v>
      </c>
      <c r="B44" s="7" t="s">
        <v>1895</v>
      </c>
      <c r="C44" s="7" t="s">
        <v>864</v>
      </c>
    </row>
    <row r="45" spans="1:3">
      <c r="A45" s="7" t="s">
        <v>1896</v>
      </c>
      <c r="B45" s="7" t="s">
        <v>1397</v>
      </c>
      <c r="C45" s="7" t="s">
        <v>865</v>
      </c>
    </row>
    <row r="46" spans="1:3">
      <c r="A46" s="7" t="s">
        <v>1897</v>
      </c>
      <c r="B46" s="7" t="s">
        <v>1898</v>
      </c>
      <c r="C46" s="7" t="s">
        <v>866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5"/>
  <sheetViews>
    <sheetView workbookViewId="0">
      <selection activeCell="C38" sqref="C38"/>
    </sheetView>
  </sheetViews>
  <sheetFormatPr defaultRowHeight="15"/>
  <cols>
    <col min="1" max="1" width="16.140625" bestFit="1" customWidth="1"/>
    <col min="2" max="2" width="23.85546875" bestFit="1" customWidth="1"/>
    <col min="3" max="3" width="29.42578125" bestFit="1" customWidth="1"/>
    <col min="8" max="8" width="18.85546875" customWidth="1"/>
    <col min="9" max="9" width="53.5703125" customWidth="1"/>
  </cols>
  <sheetData>
    <row r="1" spans="1:9">
      <c r="A1" s="11" t="s">
        <v>3098</v>
      </c>
      <c r="B1" s="11" t="s">
        <v>3099</v>
      </c>
      <c r="C1" s="11" t="s">
        <v>3100</v>
      </c>
    </row>
    <row r="2" spans="1:9">
      <c r="A2" s="7" t="s">
        <v>1899</v>
      </c>
      <c r="B2" s="7" t="s">
        <v>1900</v>
      </c>
      <c r="C2" s="7" t="s">
        <v>652</v>
      </c>
      <c r="H2" s="3" t="s">
        <v>2595</v>
      </c>
      <c r="I2" s="3"/>
    </row>
    <row r="3" spans="1:9">
      <c r="A3" s="7" t="s">
        <v>1901</v>
      </c>
      <c r="B3" s="7" t="s">
        <v>1902</v>
      </c>
      <c r="C3" s="7" t="s">
        <v>653</v>
      </c>
      <c r="H3" s="3" t="s">
        <v>3071</v>
      </c>
      <c r="I3" s="3" t="s">
        <v>3101</v>
      </c>
    </row>
    <row r="4" spans="1:9">
      <c r="A4" s="7" t="s">
        <v>1903</v>
      </c>
      <c r="B4" s="7" t="s">
        <v>1904</v>
      </c>
      <c r="C4" s="7" t="s">
        <v>654</v>
      </c>
      <c r="H4" s="3" t="s">
        <v>3072</v>
      </c>
      <c r="I4" s="4" t="s">
        <v>3343</v>
      </c>
    </row>
    <row r="5" spans="1:9">
      <c r="A5" s="7" t="s">
        <v>1905</v>
      </c>
      <c r="B5" s="7" t="s">
        <v>1906</v>
      </c>
      <c r="C5" s="7" t="s">
        <v>655</v>
      </c>
      <c r="H5" s="6" t="s">
        <v>3075</v>
      </c>
      <c r="I5" s="3" t="s">
        <v>3097</v>
      </c>
    </row>
    <row r="6" spans="1:9">
      <c r="A6" s="7" t="s">
        <v>1907</v>
      </c>
      <c r="B6" s="7" t="s">
        <v>1908</v>
      </c>
      <c r="C6" s="7" t="s">
        <v>656</v>
      </c>
    </row>
    <row r="7" spans="1:9">
      <c r="A7" s="7" t="s">
        <v>1909</v>
      </c>
      <c r="B7" s="7" t="s">
        <v>1910</v>
      </c>
      <c r="C7" s="7" t="s">
        <v>657</v>
      </c>
    </row>
    <row r="8" spans="1:9">
      <c r="A8" s="7" t="s">
        <v>1911</v>
      </c>
      <c r="B8" s="7" t="s">
        <v>1912</v>
      </c>
      <c r="C8" s="7" t="s">
        <v>658</v>
      </c>
    </row>
    <row r="9" spans="1:9">
      <c r="A9" s="7" t="s">
        <v>1913</v>
      </c>
      <c r="B9" s="7" t="s">
        <v>1914</v>
      </c>
      <c r="C9" s="7" t="s">
        <v>659</v>
      </c>
    </row>
    <row r="10" spans="1:9">
      <c r="A10" s="7" t="s">
        <v>1915</v>
      </c>
      <c r="B10" s="7" t="s">
        <v>1916</v>
      </c>
      <c r="C10" s="7" t="s">
        <v>660</v>
      </c>
    </row>
    <row r="11" spans="1:9">
      <c r="A11" s="7" t="s">
        <v>1917</v>
      </c>
      <c r="B11" s="7" t="s">
        <v>1918</v>
      </c>
      <c r="C11" s="7" t="s">
        <v>661</v>
      </c>
    </row>
    <row r="12" spans="1:9">
      <c r="A12" s="7" t="s">
        <v>1919</v>
      </c>
      <c r="B12" s="7" t="s">
        <v>1920</v>
      </c>
      <c r="C12" s="7" t="s">
        <v>662</v>
      </c>
    </row>
    <row r="13" spans="1:9">
      <c r="A13" s="7" t="s">
        <v>1921</v>
      </c>
      <c r="B13" s="7" t="s">
        <v>1922</v>
      </c>
      <c r="C13" s="7" t="s">
        <v>663</v>
      </c>
    </row>
    <row r="14" spans="1:9">
      <c r="A14" s="7" t="s">
        <v>1923</v>
      </c>
      <c r="B14" s="7" t="s">
        <v>1924</v>
      </c>
      <c r="C14" s="7" t="s">
        <v>664</v>
      </c>
    </row>
    <row r="15" spans="1:9">
      <c r="A15" s="7" t="s">
        <v>1925</v>
      </c>
      <c r="B15" s="7" t="s">
        <v>1926</v>
      </c>
      <c r="C15" s="7" t="s">
        <v>665</v>
      </c>
    </row>
    <row r="16" spans="1:9">
      <c r="A16" s="7" t="s">
        <v>1927</v>
      </c>
      <c r="B16" s="7" t="s">
        <v>1928</v>
      </c>
      <c r="C16" s="7" t="s">
        <v>666</v>
      </c>
    </row>
    <row r="17" spans="1:3">
      <c r="A17" s="7" t="s">
        <v>1929</v>
      </c>
      <c r="B17" s="7" t="s">
        <v>1930</v>
      </c>
      <c r="C17" s="7" t="s">
        <v>667</v>
      </c>
    </row>
    <row r="18" spans="1:3">
      <c r="A18" s="7" t="s">
        <v>1931</v>
      </c>
      <c r="B18" s="7" t="s">
        <v>1932</v>
      </c>
      <c r="C18" s="7" t="s">
        <v>668</v>
      </c>
    </row>
    <row r="19" spans="1:3">
      <c r="A19" s="7" t="s">
        <v>1933</v>
      </c>
      <c r="B19" s="7" t="s">
        <v>1934</v>
      </c>
      <c r="C19" s="7" t="s">
        <v>669</v>
      </c>
    </row>
    <row r="20" spans="1:3">
      <c r="A20" s="7" t="s">
        <v>1935</v>
      </c>
      <c r="B20" s="7" t="s">
        <v>1936</v>
      </c>
      <c r="C20" s="7" t="s">
        <v>670</v>
      </c>
    </row>
    <row r="21" spans="1:3">
      <c r="A21" s="7" t="s">
        <v>1937</v>
      </c>
      <c r="B21" s="7" t="s">
        <v>1938</v>
      </c>
      <c r="C21" s="7" t="s">
        <v>671</v>
      </c>
    </row>
    <row r="22" spans="1:3">
      <c r="A22" s="7" t="s">
        <v>1939</v>
      </c>
      <c r="B22" s="7" t="s">
        <v>1940</v>
      </c>
      <c r="C22" s="7" t="s">
        <v>672</v>
      </c>
    </row>
    <row r="23" spans="1:3">
      <c r="A23" s="7" t="s">
        <v>1941</v>
      </c>
      <c r="B23" s="7" t="s">
        <v>1942</v>
      </c>
      <c r="C23" s="7" t="s">
        <v>673</v>
      </c>
    </row>
    <row r="24" spans="1:3">
      <c r="A24" s="7" t="s">
        <v>1943</v>
      </c>
      <c r="B24" s="7" t="s">
        <v>1944</v>
      </c>
      <c r="C24" s="7" t="s">
        <v>674</v>
      </c>
    </row>
    <row r="25" spans="1:3">
      <c r="A25" s="7" t="s">
        <v>1945</v>
      </c>
      <c r="B25" s="7" t="s">
        <v>1946</v>
      </c>
      <c r="C25" s="7" t="s">
        <v>675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6"/>
  <sheetViews>
    <sheetView workbookViewId="0">
      <selection activeCell="C38" sqref="C38"/>
    </sheetView>
  </sheetViews>
  <sheetFormatPr defaultRowHeight="15"/>
  <cols>
    <col min="1" max="1" width="16.7109375" bestFit="1" customWidth="1"/>
    <col min="2" max="2" width="33.42578125" bestFit="1" customWidth="1"/>
    <col min="3" max="3" width="39.28515625" bestFit="1" customWidth="1"/>
    <col min="6" max="6" width="22.7109375" customWidth="1"/>
    <col min="7" max="7" width="34" customWidth="1"/>
  </cols>
  <sheetData>
    <row r="1" spans="1:7">
      <c r="A1" s="11" t="s">
        <v>1947</v>
      </c>
      <c r="B1" s="11" t="s">
        <v>1948</v>
      </c>
      <c r="C1" s="11" t="s">
        <v>0</v>
      </c>
    </row>
    <row r="2" spans="1:7">
      <c r="A2" s="7" t="s">
        <v>1949</v>
      </c>
      <c r="B2" s="7" t="s">
        <v>1950</v>
      </c>
      <c r="C2" s="7" t="s">
        <v>1951</v>
      </c>
      <c r="F2" s="3" t="s">
        <v>2595</v>
      </c>
      <c r="G2" s="3"/>
    </row>
    <row r="3" spans="1:7">
      <c r="A3" s="7" t="s">
        <v>1952</v>
      </c>
      <c r="B3" s="7" t="s">
        <v>1953</v>
      </c>
      <c r="C3" s="7" t="s">
        <v>2</v>
      </c>
      <c r="F3" s="3" t="s">
        <v>3071</v>
      </c>
      <c r="G3" s="3" t="s">
        <v>3103</v>
      </c>
    </row>
    <row r="4" spans="1:7">
      <c r="A4" s="7" t="s">
        <v>1954</v>
      </c>
      <c r="B4" s="7" t="s">
        <v>1955</v>
      </c>
      <c r="C4" s="7" t="s">
        <v>3</v>
      </c>
      <c r="F4" s="3" t="s">
        <v>3072</v>
      </c>
      <c r="G4" s="4"/>
    </row>
    <row r="5" spans="1:7">
      <c r="A5" s="7" t="s">
        <v>1956</v>
      </c>
      <c r="B5" s="7" t="s">
        <v>1957</v>
      </c>
      <c r="C5" s="7" t="s">
        <v>4</v>
      </c>
      <c r="F5" s="6" t="s">
        <v>3075</v>
      </c>
      <c r="G5" s="3" t="s">
        <v>3102</v>
      </c>
    </row>
    <row r="6" spans="1:7">
      <c r="A6" s="7" t="s">
        <v>1958</v>
      </c>
      <c r="B6" s="7" t="s">
        <v>1959</v>
      </c>
      <c r="C6" s="7" t="s">
        <v>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24"/>
  <sheetViews>
    <sheetView workbookViewId="0">
      <selection activeCell="E15" sqref="E15:L15"/>
    </sheetView>
  </sheetViews>
  <sheetFormatPr defaultRowHeight="15"/>
  <cols>
    <col min="1" max="1" width="19.7109375" bestFit="1" customWidth="1"/>
    <col min="2" max="2" width="23.28515625" bestFit="1" customWidth="1"/>
    <col min="3" max="3" width="28.7109375" bestFit="1" customWidth="1"/>
    <col min="6" max="6" width="20.5703125" customWidth="1"/>
    <col min="7" max="7" width="43.42578125" customWidth="1"/>
  </cols>
  <sheetData>
    <row r="1" spans="1:7">
      <c r="A1" s="11" t="s">
        <v>3106</v>
      </c>
      <c r="B1" s="11" t="s">
        <v>3125</v>
      </c>
      <c r="C1" s="11" t="s">
        <v>3126</v>
      </c>
    </row>
    <row r="2" spans="1:7">
      <c r="A2" s="7" t="s">
        <v>1960</v>
      </c>
      <c r="B2" s="7" t="s">
        <v>1961</v>
      </c>
      <c r="C2" s="7" t="s">
        <v>799</v>
      </c>
      <c r="F2" s="3" t="s">
        <v>2595</v>
      </c>
      <c r="G2" s="3"/>
    </row>
    <row r="3" spans="1:7">
      <c r="A3" s="7" t="s">
        <v>1962</v>
      </c>
      <c r="B3" s="7" t="s">
        <v>1963</v>
      </c>
      <c r="C3" s="7" t="s">
        <v>800</v>
      </c>
      <c r="F3" s="3" t="s">
        <v>3071</v>
      </c>
      <c r="G3" s="3" t="s">
        <v>3105</v>
      </c>
    </row>
    <row r="4" spans="1:7">
      <c r="A4" s="7" t="s">
        <v>1964</v>
      </c>
      <c r="B4" s="7" t="s">
        <v>1965</v>
      </c>
      <c r="C4" s="7" t="s">
        <v>801</v>
      </c>
      <c r="F4" s="3" t="s">
        <v>3072</v>
      </c>
      <c r="G4" s="4" t="s">
        <v>3341</v>
      </c>
    </row>
    <row r="5" spans="1:7">
      <c r="A5" s="7" t="s">
        <v>1966</v>
      </c>
      <c r="B5" s="7" t="s">
        <v>1967</v>
      </c>
      <c r="C5" s="7" t="s">
        <v>802</v>
      </c>
      <c r="F5" s="6" t="s">
        <v>3075</v>
      </c>
      <c r="G5" s="3" t="s">
        <v>3104</v>
      </c>
    </row>
    <row r="6" spans="1:7">
      <c r="A6" s="7" t="s">
        <v>1968</v>
      </c>
      <c r="B6" s="7" t="s">
        <v>1969</v>
      </c>
      <c r="C6" s="7" t="s">
        <v>803</v>
      </c>
    </row>
    <row r="7" spans="1:7">
      <c r="A7" s="7" t="s">
        <v>1970</v>
      </c>
      <c r="B7" s="7" t="s">
        <v>1971</v>
      </c>
      <c r="C7" s="7" t="s">
        <v>804</v>
      </c>
    </row>
    <row r="8" spans="1:7">
      <c r="A8" s="7" t="s">
        <v>1972</v>
      </c>
      <c r="B8" s="7" t="s">
        <v>1973</v>
      </c>
      <c r="C8" s="7" t="s">
        <v>805</v>
      </c>
    </row>
    <row r="9" spans="1:7">
      <c r="A9" s="7" t="s">
        <v>1974</v>
      </c>
      <c r="B9" s="7" t="s">
        <v>1975</v>
      </c>
      <c r="C9" s="7" t="s">
        <v>806</v>
      </c>
    </row>
    <row r="10" spans="1:7">
      <c r="A10" s="7" t="s">
        <v>1976</v>
      </c>
      <c r="B10" s="7" t="s">
        <v>1977</v>
      </c>
      <c r="C10" s="7" t="s">
        <v>807</v>
      </c>
    </row>
    <row r="11" spans="1:7">
      <c r="A11" s="7" t="s">
        <v>1978</v>
      </c>
      <c r="B11" s="7" t="s">
        <v>1979</v>
      </c>
      <c r="C11" s="7" t="s">
        <v>808</v>
      </c>
    </row>
    <row r="12" spans="1:7">
      <c r="A12" s="7" t="s">
        <v>1980</v>
      </c>
      <c r="B12" s="7" t="s">
        <v>1981</v>
      </c>
      <c r="C12" s="7" t="s">
        <v>809</v>
      </c>
    </row>
    <row r="13" spans="1:7">
      <c r="A13" s="7" t="s">
        <v>1982</v>
      </c>
      <c r="B13" s="7" t="s">
        <v>1983</v>
      </c>
      <c r="C13" s="7" t="s">
        <v>810</v>
      </c>
    </row>
    <row r="14" spans="1:7">
      <c r="A14" s="7" t="s">
        <v>1984</v>
      </c>
      <c r="B14" s="7" t="s">
        <v>1985</v>
      </c>
      <c r="C14" s="7" t="s">
        <v>811</v>
      </c>
    </row>
    <row r="15" spans="1:7">
      <c r="A15" s="7" t="s">
        <v>1986</v>
      </c>
      <c r="B15" s="7" t="s">
        <v>1987</v>
      </c>
      <c r="C15" s="7" t="s">
        <v>812</v>
      </c>
    </row>
    <row r="16" spans="1:7">
      <c r="A16" s="7" t="s">
        <v>1988</v>
      </c>
      <c r="B16" s="7" t="s">
        <v>1989</v>
      </c>
      <c r="C16" s="7" t="s">
        <v>813</v>
      </c>
    </row>
    <row r="17" spans="1:3">
      <c r="A17" s="7" t="s">
        <v>1990</v>
      </c>
      <c r="B17" s="7" t="s">
        <v>1991</v>
      </c>
      <c r="C17" s="7" t="s">
        <v>814</v>
      </c>
    </row>
    <row r="18" spans="1:3">
      <c r="A18" s="7" t="s">
        <v>1992</v>
      </c>
      <c r="B18" s="7" t="s">
        <v>1993</v>
      </c>
      <c r="C18" s="7" t="s">
        <v>815</v>
      </c>
    </row>
    <row r="19" spans="1:3">
      <c r="A19" s="7" t="s">
        <v>1994</v>
      </c>
      <c r="B19" s="7" t="s">
        <v>1995</v>
      </c>
      <c r="C19" s="7" t="s">
        <v>816</v>
      </c>
    </row>
    <row r="20" spans="1:3">
      <c r="A20" s="7" t="s">
        <v>1996</v>
      </c>
      <c r="B20" s="7" t="s">
        <v>1997</v>
      </c>
      <c r="C20" s="7" t="s">
        <v>817</v>
      </c>
    </row>
    <row r="21" spans="1:3">
      <c r="A21" s="7" t="s">
        <v>1998</v>
      </c>
      <c r="B21" s="7" t="s">
        <v>1999</v>
      </c>
      <c r="C21" s="7" t="s">
        <v>818</v>
      </c>
    </row>
    <row r="22" spans="1:3">
      <c r="A22" s="7" t="s">
        <v>2000</v>
      </c>
      <c r="B22" s="7" t="s">
        <v>2001</v>
      </c>
      <c r="C22" s="7" t="s">
        <v>819</v>
      </c>
    </row>
    <row r="23" spans="1:3">
      <c r="A23" s="7" t="s">
        <v>2002</v>
      </c>
      <c r="B23" s="7" t="s">
        <v>2003</v>
      </c>
      <c r="C23" s="7" t="s">
        <v>820</v>
      </c>
    </row>
    <row r="24" spans="1:3">
      <c r="A24" s="7" t="s">
        <v>2004</v>
      </c>
      <c r="B24" s="7" t="s">
        <v>2005</v>
      </c>
      <c r="C24" s="7" t="s">
        <v>821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98"/>
  <sheetViews>
    <sheetView workbookViewId="0">
      <selection activeCell="E15" sqref="E15:L15"/>
    </sheetView>
  </sheetViews>
  <sheetFormatPr defaultRowHeight="15"/>
  <cols>
    <col min="1" max="1" width="9.7109375" bestFit="1" customWidth="1"/>
    <col min="2" max="2" width="26.42578125" bestFit="1" customWidth="1"/>
    <col min="3" max="3" width="31.140625" bestFit="1" customWidth="1"/>
    <col min="6" max="6" width="16.28515625" customWidth="1"/>
    <col min="7" max="7" width="28.5703125" customWidth="1"/>
  </cols>
  <sheetData>
    <row r="1" spans="1:7">
      <c r="A1" s="11" t="s">
        <v>3107</v>
      </c>
      <c r="B1" s="11" t="s">
        <v>3108</v>
      </c>
      <c r="C1" s="11" t="s">
        <v>3429</v>
      </c>
    </row>
    <row r="2" spans="1:7">
      <c r="A2" s="7" t="s">
        <v>2006</v>
      </c>
      <c r="B2" s="7" t="s">
        <v>2007</v>
      </c>
      <c r="C2" s="7" t="s">
        <v>867</v>
      </c>
      <c r="F2" s="3" t="s">
        <v>2595</v>
      </c>
      <c r="G2" s="3"/>
    </row>
    <row r="3" spans="1:7">
      <c r="A3" s="7" t="s">
        <v>2008</v>
      </c>
      <c r="B3" s="7" t="s">
        <v>2009</v>
      </c>
      <c r="C3" s="7" t="s">
        <v>868</v>
      </c>
      <c r="F3" s="3" t="s">
        <v>3071</v>
      </c>
      <c r="G3" s="3" t="s">
        <v>3109</v>
      </c>
    </row>
    <row r="4" spans="1:7">
      <c r="A4" s="7" t="s">
        <v>2010</v>
      </c>
      <c r="B4" s="7" t="s">
        <v>2011</v>
      </c>
      <c r="C4" s="7" t="s">
        <v>869</v>
      </c>
      <c r="F4" s="3" t="s">
        <v>3072</v>
      </c>
      <c r="G4" t="s">
        <v>3340</v>
      </c>
    </row>
    <row r="5" spans="1:7">
      <c r="A5" s="7" t="s">
        <v>2012</v>
      </c>
      <c r="B5" s="7" t="s">
        <v>2013</v>
      </c>
      <c r="C5" s="7" t="s">
        <v>870</v>
      </c>
      <c r="F5" s="6" t="s">
        <v>3075</v>
      </c>
      <c r="G5" s="3" t="s">
        <v>3110</v>
      </c>
    </row>
    <row r="6" spans="1:7">
      <c r="A6" s="7" t="s">
        <v>2014</v>
      </c>
      <c r="B6" s="7" t="s">
        <v>2015</v>
      </c>
      <c r="C6" s="7" t="s">
        <v>871</v>
      </c>
    </row>
    <row r="7" spans="1:7">
      <c r="A7" s="7" t="s">
        <v>2016</v>
      </c>
      <c r="B7" s="7" t="s">
        <v>2017</v>
      </c>
      <c r="C7" s="7" t="s">
        <v>872</v>
      </c>
    </row>
    <row r="8" spans="1:7">
      <c r="A8" s="7" t="s">
        <v>2018</v>
      </c>
      <c r="B8" s="7" t="s">
        <v>2019</v>
      </c>
      <c r="C8" s="7" t="s">
        <v>873</v>
      </c>
    </row>
    <row r="9" spans="1:7">
      <c r="A9" s="7" t="s">
        <v>2020</v>
      </c>
      <c r="B9" s="7" t="s">
        <v>2021</v>
      </c>
      <c r="C9" s="7" t="s">
        <v>874</v>
      </c>
    </row>
    <row r="10" spans="1:7">
      <c r="A10" s="7" t="s">
        <v>2022</v>
      </c>
      <c r="B10" s="7" t="s">
        <v>2023</v>
      </c>
      <c r="C10" s="7" t="s">
        <v>875</v>
      </c>
    </row>
    <row r="11" spans="1:7">
      <c r="A11" s="7" t="s">
        <v>2024</v>
      </c>
      <c r="B11" s="7" t="s">
        <v>2025</v>
      </c>
      <c r="C11" s="7" t="s">
        <v>876</v>
      </c>
    </row>
    <row r="12" spans="1:7">
      <c r="A12" s="7" t="s">
        <v>2026</v>
      </c>
      <c r="B12" s="7" t="s">
        <v>2027</v>
      </c>
      <c r="C12" s="7" t="s">
        <v>877</v>
      </c>
    </row>
    <row r="13" spans="1:7">
      <c r="A13" s="7" t="s">
        <v>2028</v>
      </c>
      <c r="B13" s="7" t="s">
        <v>2029</v>
      </c>
      <c r="C13" s="7" t="s">
        <v>878</v>
      </c>
    </row>
    <row r="14" spans="1:7">
      <c r="A14" s="7" t="s">
        <v>2030</v>
      </c>
      <c r="B14" s="7" t="s">
        <v>2031</v>
      </c>
      <c r="C14" s="7" t="s">
        <v>879</v>
      </c>
    </row>
    <row r="15" spans="1:7">
      <c r="A15" s="7" t="s">
        <v>2032</v>
      </c>
      <c r="B15" s="7" t="s">
        <v>2019</v>
      </c>
      <c r="C15" s="7" t="s">
        <v>880</v>
      </c>
    </row>
    <row r="16" spans="1:7">
      <c r="A16" s="7" t="s">
        <v>2033</v>
      </c>
      <c r="B16" s="7" t="s">
        <v>2034</v>
      </c>
      <c r="C16" s="7" t="s">
        <v>881</v>
      </c>
    </row>
    <row r="17" spans="1:3">
      <c r="A17" s="7" t="s">
        <v>2035</v>
      </c>
      <c r="B17" s="7" t="s">
        <v>2036</v>
      </c>
      <c r="C17" s="7" t="s">
        <v>882</v>
      </c>
    </row>
    <row r="18" spans="1:3">
      <c r="A18" s="7" t="s">
        <v>2037</v>
      </c>
      <c r="B18" s="7" t="s">
        <v>2038</v>
      </c>
      <c r="C18" s="7" t="s">
        <v>883</v>
      </c>
    </row>
    <row r="19" spans="1:3">
      <c r="A19" s="7" t="s">
        <v>2039</v>
      </c>
      <c r="B19" s="7" t="s">
        <v>2040</v>
      </c>
      <c r="C19" s="7" t="s">
        <v>884</v>
      </c>
    </row>
    <row r="20" spans="1:3">
      <c r="A20" s="7" t="s">
        <v>2041</v>
      </c>
      <c r="B20" s="7" t="s">
        <v>2042</v>
      </c>
      <c r="C20" s="7" t="s">
        <v>885</v>
      </c>
    </row>
    <row r="21" spans="1:3">
      <c r="A21" s="7" t="s">
        <v>2043</v>
      </c>
      <c r="B21" s="7" t="s">
        <v>2044</v>
      </c>
      <c r="C21" s="7" t="s">
        <v>886</v>
      </c>
    </row>
    <row r="22" spans="1:3">
      <c r="A22" s="7" t="s">
        <v>2045</v>
      </c>
      <c r="B22" s="7" t="s">
        <v>2046</v>
      </c>
      <c r="C22" s="7" t="s">
        <v>887</v>
      </c>
    </row>
    <row r="23" spans="1:3">
      <c r="A23" s="7" t="s">
        <v>2047</v>
      </c>
      <c r="B23" s="7" t="s">
        <v>2048</v>
      </c>
      <c r="C23" s="7" t="s">
        <v>888</v>
      </c>
    </row>
    <row r="24" spans="1:3">
      <c r="A24" s="7" t="s">
        <v>2049</v>
      </c>
      <c r="B24" s="7" t="s">
        <v>2050</v>
      </c>
      <c r="C24" s="7" t="s">
        <v>889</v>
      </c>
    </row>
    <row r="25" spans="1:3">
      <c r="A25" s="7" t="s">
        <v>2051</v>
      </c>
      <c r="B25" s="7" t="s">
        <v>2052</v>
      </c>
      <c r="C25" s="7" t="s">
        <v>890</v>
      </c>
    </row>
    <row r="26" spans="1:3">
      <c r="A26" s="7" t="s">
        <v>2053</v>
      </c>
      <c r="B26" s="7" t="s">
        <v>2054</v>
      </c>
      <c r="C26" s="7" t="s">
        <v>891</v>
      </c>
    </row>
    <row r="27" spans="1:3">
      <c r="A27" s="7" t="s">
        <v>2055</v>
      </c>
      <c r="B27" s="7" t="s">
        <v>2056</v>
      </c>
      <c r="C27" s="7" t="s">
        <v>892</v>
      </c>
    </row>
    <row r="28" spans="1:3">
      <c r="A28" s="7" t="s">
        <v>2057</v>
      </c>
      <c r="B28" s="7" t="s">
        <v>2058</v>
      </c>
      <c r="C28" s="7" t="s">
        <v>893</v>
      </c>
    </row>
    <row r="29" spans="1:3">
      <c r="A29" s="7" t="s">
        <v>2059</v>
      </c>
      <c r="B29" s="7" t="s">
        <v>2060</v>
      </c>
      <c r="C29" s="7" t="s">
        <v>894</v>
      </c>
    </row>
    <row r="30" spans="1:3">
      <c r="A30" s="7" t="s">
        <v>2061</v>
      </c>
      <c r="B30" s="7" t="s">
        <v>2062</v>
      </c>
      <c r="C30" s="7" t="s">
        <v>895</v>
      </c>
    </row>
    <row r="31" spans="1:3">
      <c r="A31" s="7" t="s">
        <v>2063</v>
      </c>
      <c r="B31" s="7" t="s">
        <v>2064</v>
      </c>
      <c r="C31" s="7" t="s">
        <v>896</v>
      </c>
    </row>
    <row r="32" spans="1:3">
      <c r="A32" s="7" t="s">
        <v>2065</v>
      </c>
      <c r="B32" s="7" t="s">
        <v>2066</v>
      </c>
      <c r="C32" s="7" t="s">
        <v>897</v>
      </c>
    </row>
    <row r="33" spans="1:3">
      <c r="A33" s="7" t="s">
        <v>2067</v>
      </c>
      <c r="B33" s="7" t="s">
        <v>2068</v>
      </c>
      <c r="C33" s="7" t="s">
        <v>898</v>
      </c>
    </row>
    <row r="34" spans="1:3">
      <c r="A34" s="7" t="s">
        <v>2069</v>
      </c>
      <c r="B34" s="7" t="s">
        <v>2070</v>
      </c>
      <c r="C34" s="7" t="s">
        <v>899</v>
      </c>
    </row>
    <row r="35" spans="1:3">
      <c r="A35" s="7" t="s">
        <v>2071</v>
      </c>
      <c r="B35" s="7" t="s">
        <v>2072</v>
      </c>
      <c r="C35" s="7" t="s">
        <v>900</v>
      </c>
    </row>
    <row r="36" spans="1:3">
      <c r="A36" s="7" t="s">
        <v>2073</v>
      </c>
      <c r="B36" s="7" t="s">
        <v>2074</v>
      </c>
      <c r="C36" s="7" t="s">
        <v>901</v>
      </c>
    </row>
    <row r="37" spans="1:3">
      <c r="A37" s="7" t="s">
        <v>2075</v>
      </c>
      <c r="B37" s="7" t="s">
        <v>2076</v>
      </c>
      <c r="C37" s="7" t="s">
        <v>902</v>
      </c>
    </row>
    <row r="38" spans="1:3">
      <c r="A38" s="7" t="s">
        <v>2077</v>
      </c>
      <c r="B38" s="7" t="s">
        <v>2078</v>
      </c>
      <c r="C38" s="7" t="s">
        <v>903</v>
      </c>
    </row>
    <row r="39" spans="1:3">
      <c r="A39" s="7" t="s">
        <v>2079</v>
      </c>
      <c r="B39" s="7" t="s">
        <v>2080</v>
      </c>
      <c r="C39" s="7" t="s">
        <v>904</v>
      </c>
    </row>
    <row r="40" spans="1:3">
      <c r="A40" s="7" t="s">
        <v>2081</v>
      </c>
      <c r="B40" s="7" t="s">
        <v>2082</v>
      </c>
      <c r="C40" s="7" t="s">
        <v>905</v>
      </c>
    </row>
    <row r="41" spans="1:3">
      <c r="A41" s="7" t="s">
        <v>2083</v>
      </c>
      <c r="B41" s="7" t="s">
        <v>2084</v>
      </c>
      <c r="C41" s="7" t="s">
        <v>906</v>
      </c>
    </row>
    <row r="42" spans="1:3">
      <c r="A42" s="7" t="s">
        <v>2085</v>
      </c>
      <c r="B42" s="7" t="s">
        <v>2086</v>
      </c>
      <c r="C42" s="7" t="s">
        <v>907</v>
      </c>
    </row>
    <row r="43" spans="1:3">
      <c r="A43" s="7" t="s">
        <v>2087</v>
      </c>
      <c r="B43" s="7" t="s">
        <v>2088</v>
      </c>
      <c r="C43" s="7" t="s">
        <v>908</v>
      </c>
    </row>
    <row r="44" spans="1:3">
      <c r="A44" s="7" t="s">
        <v>2089</v>
      </c>
      <c r="B44" s="7" t="s">
        <v>2090</v>
      </c>
      <c r="C44" s="7" t="s">
        <v>909</v>
      </c>
    </row>
    <row r="45" spans="1:3">
      <c r="A45" s="7" t="s">
        <v>2091</v>
      </c>
      <c r="B45" s="7" t="s">
        <v>2090</v>
      </c>
      <c r="C45" s="7" t="s">
        <v>910</v>
      </c>
    </row>
    <row r="46" spans="1:3">
      <c r="A46" s="7" t="s">
        <v>2092</v>
      </c>
      <c r="B46" s="7" t="s">
        <v>2093</v>
      </c>
      <c r="C46" s="7" t="s">
        <v>911</v>
      </c>
    </row>
    <row r="47" spans="1:3">
      <c r="A47" s="7" t="s">
        <v>2094</v>
      </c>
      <c r="B47" s="7" t="s">
        <v>2095</v>
      </c>
      <c r="C47" s="7" t="s">
        <v>912</v>
      </c>
    </row>
    <row r="48" spans="1:3">
      <c r="A48" s="7" t="s">
        <v>2096</v>
      </c>
      <c r="B48" s="7" t="s">
        <v>2097</v>
      </c>
      <c r="C48" s="7" t="s">
        <v>913</v>
      </c>
    </row>
    <row r="49" spans="1:3">
      <c r="A49" s="7" t="s">
        <v>2098</v>
      </c>
      <c r="B49" s="7" t="s">
        <v>2099</v>
      </c>
      <c r="C49" s="7" t="s">
        <v>914</v>
      </c>
    </row>
    <row r="50" spans="1:3">
      <c r="A50" s="7" t="s">
        <v>2100</v>
      </c>
      <c r="B50" s="7" t="s">
        <v>2101</v>
      </c>
      <c r="C50" s="7" t="s">
        <v>915</v>
      </c>
    </row>
    <row r="51" spans="1:3">
      <c r="A51" s="7" t="s">
        <v>2102</v>
      </c>
      <c r="B51" s="7" t="s">
        <v>2103</v>
      </c>
      <c r="C51" s="7" t="s">
        <v>916</v>
      </c>
    </row>
    <row r="52" spans="1:3">
      <c r="A52" s="7" t="s">
        <v>2104</v>
      </c>
      <c r="B52" s="7" t="s">
        <v>2105</v>
      </c>
      <c r="C52" s="7" t="s">
        <v>917</v>
      </c>
    </row>
    <row r="53" spans="1:3">
      <c r="A53" s="7" t="s">
        <v>2106</v>
      </c>
      <c r="B53" s="7" t="s">
        <v>2107</v>
      </c>
      <c r="C53" s="7" t="s">
        <v>918</v>
      </c>
    </row>
    <row r="54" spans="1:3">
      <c r="A54" s="7" t="s">
        <v>2108</v>
      </c>
      <c r="B54" s="7" t="s">
        <v>2109</v>
      </c>
      <c r="C54" s="7" t="s">
        <v>919</v>
      </c>
    </row>
    <row r="55" spans="1:3">
      <c r="A55" s="7" t="s">
        <v>2110</v>
      </c>
      <c r="B55" s="7" t="s">
        <v>2111</v>
      </c>
      <c r="C55" s="7" t="s">
        <v>920</v>
      </c>
    </row>
    <row r="56" spans="1:3">
      <c r="A56" s="7" t="s">
        <v>2112</v>
      </c>
      <c r="B56" s="7" t="s">
        <v>2113</v>
      </c>
      <c r="C56" s="7" t="s">
        <v>921</v>
      </c>
    </row>
    <row r="57" spans="1:3">
      <c r="A57" s="7" t="s">
        <v>2114</v>
      </c>
      <c r="B57" s="7" t="s">
        <v>2115</v>
      </c>
      <c r="C57" s="7" t="s">
        <v>922</v>
      </c>
    </row>
    <row r="58" spans="1:3">
      <c r="A58" s="7" t="s">
        <v>2116</v>
      </c>
      <c r="B58" s="7" t="s">
        <v>2117</v>
      </c>
      <c r="C58" s="7" t="s">
        <v>923</v>
      </c>
    </row>
    <row r="59" spans="1:3">
      <c r="A59" s="7" t="s">
        <v>2118</v>
      </c>
      <c r="B59" s="7" t="s">
        <v>2119</v>
      </c>
      <c r="C59" s="7" t="s">
        <v>924</v>
      </c>
    </row>
    <row r="60" spans="1:3">
      <c r="A60" s="7" t="s">
        <v>2120</v>
      </c>
      <c r="B60" s="7" t="s">
        <v>2121</v>
      </c>
      <c r="C60" s="7" t="s">
        <v>925</v>
      </c>
    </row>
    <row r="61" spans="1:3">
      <c r="A61" s="7" t="s">
        <v>2122</v>
      </c>
      <c r="B61" s="7" t="s">
        <v>2123</v>
      </c>
      <c r="C61" s="7" t="s">
        <v>926</v>
      </c>
    </row>
    <row r="62" spans="1:3">
      <c r="A62" s="7" t="s">
        <v>2124</v>
      </c>
      <c r="B62" s="7" t="s">
        <v>2125</v>
      </c>
      <c r="C62" s="7" t="s">
        <v>927</v>
      </c>
    </row>
    <row r="63" spans="1:3">
      <c r="A63" s="7" t="s">
        <v>2126</v>
      </c>
      <c r="B63" s="7" t="s">
        <v>2127</v>
      </c>
      <c r="C63" s="7" t="s">
        <v>928</v>
      </c>
    </row>
    <row r="64" spans="1:3">
      <c r="A64" s="7" t="s">
        <v>2128</v>
      </c>
      <c r="B64" s="7" t="s">
        <v>2129</v>
      </c>
      <c r="C64" s="7" t="s">
        <v>929</v>
      </c>
    </row>
    <row r="65" spans="1:3">
      <c r="A65" s="7" t="s">
        <v>2130</v>
      </c>
      <c r="B65" s="7" t="s">
        <v>2131</v>
      </c>
      <c r="C65" s="7" t="s">
        <v>930</v>
      </c>
    </row>
    <row r="66" spans="1:3">
      <c r="A66" s="7" t="s">
        <v>2132</v>
      </c>
      <c r="B66" s="7" t="s">
        <v>2133</v>
      </c>
      <c r="C66" s="7" t="s">
        <v>931</v>
      </c>
    </row>
    <row r="67" spans="1:3">
      <c r="A67" s="7" t="s">
        <v>2134</v>
      </c>
      <c r="B67" s="7" t="s">
        <v>2135</v>
      </c>
      <c r="C67" s="7" t="s">
        <v>932</v>
      </c>
    </row>
    <row r="68" spans="1:3">
      <c r="A68" s="7" t="s">
        <v>2136</v>
      </c>
      <c r="B68" s="7" t="s">
        <v>2137</v>
      </c>
      <c r="C68" s="7" t="s">
        <v>933</v>
      </c>
    </row>
    <row r="69" spans="1:3">
      <c r="A69" s="7" t="s">
        <v>2138</v>
      </c>
      <c r="B69" s="7" t="s">
        <v>2139</v>
      </c>
      <c r="C69" s="7" t="s">
        <v>934</v>
      </c>
    </row>
    <row r="70" spans="1:3">
      <c r="A70" s="7" t="s">
        <v>2140</v>
      </c>
      <c r="B70" s="7" t="s">
        <v>2141</v>
      </c>
      <c r="C70" s="7" t="s">
        <v>935</v>
      </c>
    </row>
    <row r="71" spans="1:3">
      <c r="A71" s="7" t="s">
        <v>2142</v>
      </c>
      <c r="B71" s="7" t="s">
        <v>2139</v>
      </c>
      <c r="C71" s="7" t="s">
        <v>936</v>
      </c>
    </row>
    <row r="72" spans="1:3">
      <c r="A72" s="7" t="s">
        <v>2143</v>
      </c>
      <c r="B72" s="7" t="s">
        <v>2144</v>
      </c>
      <c r="C72" s="7" t="s">
        <v>937</v>
      </c>
    </row>
    <row r="73" spans="1:3">
      <c r="A73" s="7" t="s">
        <v>2145</v>
      </c>
      <c r="B73" s="7" t="s">
        <v>2146</v>
      </c>
      <c r="C73" s="7" t="s">
        <v>938</v>
      </c>
    </row>
    <row r="74" spans="1:3">
      <c r="A74" s="7" t="s">
        <v>2147</v>
      </c>
      <c r="B74" s="7" t="s">
        <v>2148</v>
      </c>
      <c r="C74" s="7" t="s">
        <v>939</v>
      </c>
    </row>
    <row r="75" spans="1:3">
      <c r="A75" s="7" t="s">
        <v>2149</v>
      </c>
      <c r="B75" s="7" t="s">
        <v>2150</v>
      </c>
      <c r="C75" s="7" t="s">
        <v>940</v>
      </c>
    </row>
    <row r="76" spans="1:3">
      <c r="A76" s="7" t="s">
        <v>2151</v>
      </c>
      <c r="B76" s="7" t="s">
        <v>2152</v>
      </c>
      <c r="C76" s="7" t="s">
        <v>941</v>
      </c>
    </row>
    <row r="77" spans="1:3">
      <c r="A77" s="7" t="s">
        <v>2153</v>
      </c>
      <c r="B77" s="7" t="s">
        <v>2154</v>
      </c>
      <c r="C77" s="7" t="s">
        <v>942</v>
      </c>
    </row>
    <row r="78" spans="1:3">
      <c r="A78" s="7" t="s">
        <v>2155</v>
      </c>
      <c r="B78" s="7" t="s">
        <v>2156</v>
      </c>
      <c r="C78" s="7" t="s">
        <v>943</v>
      </c>
    </row>
    <row r="79" spans="1:3">
      <c r="A79" s="7" t="s">
        <v>2157</v>
      </c>
      <c r="B79" s="7" t="s">
        <v>2158</v>
      </c>
      <c r="C79" s="7" t="s">
        <v>944</v>
      </c>
    </row>
    <row r="80" spans="1:3">
      <c r="A80" s="7" t="s">
        <v>2159</v>
      </c>
      <c r="B80" s="7" t="s">
        <v>2160</v>
      </c>
      <c r="C80" s="7" t="s">
        <v>945</v>
      </c>
    </row>
    <row r="81" spans="1:3">
      <c r="A81" s="7" t="s">
        <v>2161</v>
      </c>
      <c r="B81" s="7" t="s">
        <v>2162</v>
      </c>
      <c r="C81" s="7" t="s">
        <v>946</v>
      </c>
    </row>
    <row r="82" spans="1:3">
      <c r="A82" s="7" t="s">
        <v>2163</v>
      </c>
      <c r="B82" s="7" t="s">
        <v>2164</v>
      </c>
      <c r="C82" s="7" t="s">
        <v>947</v>
      </c>
    </row>
    <row r="83" spans="1:3">
      <c r="A83" s="7" t="s">
        <v>2165</v>
      </c>
      <c r="B83" s="7" t="s">
        <v>2166</v>
      </c>
      <c r="C83" s="7" t="s">
        <v>948</v>
      </c>
    </row>
    <row r="84" spans="1:3">
      <c r="A84" s="7" t="s">
        <v>2167</v>
      </c>
      <c r="B84" s="7" t="s">
        <v>2168</v>
      </c>
      <c r="C84" s="7" t="s">
        <v>949</v>
      </c>
    </row>
    <row r="85" spans="1:3">
      <c r="A85" s="7" t="s">
        <v>2169</v>
      </c>
      <c r="B85" s="7" t="s">
        <v>2170</v>
      </c>
      <c r="C85" s="7" t="s">
        <v>950</v>
      </c>
    </row>
    <row r="86" spans="1:3">
      <c r="A86" s="7" t="s">
        <v>2171</v>
      </c>
      <c r="B86" s="7" t="s">
        <v>2172</v>
      </c>
      <c r="C86" s="7" t="s">
        <v>951</v>
      </c>
    </row>
    <row r="87" spans="1:3">
      <c r="A87" s="7" t="s">
        <v>2173</v>
      </c>
      <c r="B87" s="7" t="s">
        <v>2174</v>
      </c>
      <c r="C87" s="7" t="s">
        <v>952</v>
      </c>
    </row>
    <row r="88" spans="1:3">
      <c r="A88" s="7" t="s">
        <v>2175</v>
      </c>
      <c r="B88" s="7" t="s">
        <v>2176</v>
      </c>
      <c r="C88" s="7" t="s">
        <v>953</v>
      </c>
    </row>
    <row r="89" spans="1:3">
      <c r="A89" s="7" t="s">
        <v>2177</v>
      </c>
      <c r="B89" s="7" t="s">
        <v>2178</v>
      </c>
      <c r="C89" s="7" t="s">
        <v>954</v>
      </c>
    </row>
    <row r="90" spans="1:3">
      <c r="A90" s="7" t="s">
        <v>2179</v>
      </c>
      <c r="B90" s="7" t="s">
        <v>2180</v>
      </c>
      <c r="C90" s="7" t="s">
        <v>955</v>
      </c>
    </row>
    <row r="91" spans="1:3">
      <c r="A91" s="7" t="s">
        <v>2181</v>
      </c>
      <c r="B91" s="7" t="s">
        <v>2182</v>
      </c>
      <c r="C91" s="7" t="s">
        <v>956</v>
      </c>
    </row>
    <row r="92" spans="1:3">
      <c r="A92" s="7" t="s">
        <v>2183</v>
      </c>
      <c r="B92" s="7" t="s">
        <v>2184</v>
      </c>
      <c r="C92" s="7" t="s">
        <v>957</v>
      </c>
    </row>
    <row r="93" spans="1:3">
      <c r="A93" s="7" t="s">
        <v>2185</v>
      </c>
      <c r="B93" s="7" t="s">
        <v>2186</v>
      </c>
      <c r="C93" s="7" t="s">
        <v>958</v>
      </c>
    </row>
    <row r="94" spans="1:3">
      <c r="A94" s="7" t="s">
        <v>2187</v>
      </c>
      <c r="B94" s="7" t="s">
        <v>2188</v>
      </c>
      <c r="C94" s="7" t="s">
        <v>959</v>
      </c>
    </row>
    <row r="95" spans="1:3">
      <c r="A95" s="7" t="s">
        <v>2189</v>
      </c>
      <c r="B95" s="7" t="s">
        <v>2190</v>
      </c>
      <c r="C95" s="7" t="s">
        <v>960</v>
      </c>
    </row>
    <row r="96" spans="1:3">
      <c r="A96" s="7" t="s">
        <v>2191</v>
      </c>
      <c r="B96" s="7" t="s">
        <v>2192</v>
      </c>
      <c r="C96" s="7" t="s">
        <v>961</v>
      </c>
    </row>
    <row r="97" spans="1:3">
      <c r="A97" s="7" t="s">
        <v>2193</v>
      </c>
      <c r="B97" s="7" t="s">
        <v>2194</v>
      </c>
      <c r="C97" s="7" t="s">
        <v>962</v>
      </c>
    </row>
    <row r="98" spans="1:3">
      <c r="A98" s="7" t="s">
        <v>2195</v>
      </c>
      <c r="B98" s="7" t="s">
        <v>2196</v>
      </c>
      <c r="C98" s="7" t="s">
        <v>963</v>
      </c>
    </row>
    <row r="99" spans="1:3">
      <c r="A99" s="7" t="s">
        <v>2197</v>
      </c>
      <c r="B99" s="7" t="s">
        <v>2198</v>
      </c>
      <c r="C99" s="7" t="s">
        <v>964</v>
      </c>
    </row>
    <row r="100" spans="1:3">
      <c r="A100" s="7" t="s">
        <v>2199</v>
      </c>
      <c r="B100" s="7" t="s">
        <v>2200</v>
      </c>
      <c r="C100" s="7" t="s">
        <v>965</v>
      </c>
    </row>
    <row r="101" spans="1:3">
      <c r="A101" s="7" t="s">
        <v>2201</v>
      </c>
      <c r="B101" s="7" t="s">
        <v>2202</v>
      </c>
      <c r="C101" s="7" t="s">
        <v>966</v>
      </c>
    </row>
    <row r="102" spans="1:3">
      <c r="A102" s="7" t="s">
        <v>2203</v>
      </c>
      <c r="B102" s="7" t="s">
        <v>2204</v>
      </c>
      <c r="C102" s="7" t="s">
        <v>967</v>
      </c>
    </row>
    <row r="103" spans="1:3">
      <c r="A103" s="7" t="s">
        <v>2205</v>
      </c>
      <c r="B103" s="7" t="s">
        <v>2206</v>
      </c>
      <c r="C103" s="7" t="s">
        <v>968</v>
      </c>
    </row>
    <row r="104" spans="1:3">
      <c r="A104" s="7" t="s">
        <v>2207</v>
      </c>
      <c r="B104" s="7" t="s">
        <v>2208</v>
      </c>
      <c r="C104" s="7" t="s">
        <v>969</v>
      </c>
    </row>
    <row r="105" spans="1:3">
      <c r="A105" s="7" t="s">
        <v>2209</v>
      </c>
      <c r="B105" s="7" t="s">
        <v>2210</v>
      </c>
      <c r="C105" s="7" t="s">
        <v>970</v>
      </c>
    </row>
    <row r="106" spans="1:3">
      <c r="A106" s="7" t="s">
        <v>2211</v>
      </c>
      <c r="B106" s="7" t="s">
        <v>2212</v>
      </c>
      <c r="C106" s="7" t="s">
        <v>971</v>
      </c>
    </row>
    <row r="107" spans="1:3">
      <c r="A107" s="7" t="s">
        <v>2213</v>
      </c>
      <c r="B107" s="7" t="s">
        <v>2214</v>
      </c>
      <c r="C107" s="7" t="s">
        <v>972</v>
      </c>
    </row>
    <row r="108" spans="1:3">
      <c r="A108" s="7" t="s">
        <v>2215</v>
      </c>
      <c r="B108" s="7" t="s">
        <v>2216</v>
      </c>
      <c r="C108" s="7" t="s">
        <v>973</v>
      </c>
    </row>
    <row r="109" spans="1:3">
      <c r="A109" s="7" t="s">
        <v>2217</v>
      </c>
      <c r="B109" s="7" t="s">
        <v>2218</v>
      </c>
      <c r="C109" s="7" t="s">
        <v>974</v>
      </c>
    </row>
    <row r="110" spans="1:3">
      <c r="A110" s="7" t="s">
        <v>2219</v>
      </c>
      <c r="B110" s="7" t="s">
        <v>2220</v>
      </c>
      <c r="C110" s="7" t="s">
        <v>975</v>
      </c>
    </row>
    <row r="111" spans="1:3">
      <c r="A111" s="7" t="s">
        <v>2221</v>
      </c>
      <c r="B111" s="7" t="s">
        <v>2222</v>
      </c>
      <c r="C111" s="7" t="s">
        <v>976</v>
      </c>
    </row>
    <row r="112" spans="1:3">
      <c r="A112" s="7" t="s">
        <v>2223</v>
      </c>
      <c r="B112" s="7" t="s">
        <v>2224</v>
      </c>
      <c r="C112" s="7" t="s">
        <v>977</v>
      </c>
    </row>
    <row r="113" spans="1:3">
      <c r="A113" s="7" t="s">
        <v>2225</v>
      </c>
      <c r="B113" s="7" t="s">
        <v>2226</v>
      </c>
      <c r="C113" s="7" t="s">
        <v>978</v>
      </c>
    </row>
    <row r="114" spans="1:3">
      <c r="A114" s="7" t="s">
        <v>2227</v>
      </c>
      <c r="B114" s="7" t="s">
        <v>2228</v>
      </c>
      <c r="C114" s="7" t="s">
        <v>979</v>
      </c>
    </row>
    <row r="115" spans="1:3">
      <c r="A115" s="7" t="s">
        <v>2229</v>
      </c>
      <c r="B115" s="7" t="s">
        <v>2230</v>
      </c>
      <c r="C115" s="7" t="s">
        <v>980</v>
      </c>
    </row>
    <row r="116" spans="1:3">
      <c r="A116" s="7" t="s">
        <v>2231</v>
      </c>
      <c r="B116" s="7" t="s">
        <v>2232</v>
      </c>
      <c r="C116" s="7" t="s">
        <v>981</v>
      </c>
    </row>
    <row r="117" spans="1:3">
      <c r="A117" s="7" t="s">
        <v>2233</v>
      </c>
      <c r="B117" s="7" t="s">
        <v>2234</v>
      </c>
      <c r="C117" s="7" t="s">
        <v>982</v>
      </c>
    </row>
    <row r="118" spans="1:3">
      <c r="A118" s="7" t="s">
        <v>2235</v>
      </c>
      <c r="B118" s="7" t="s">
        <v>2236</v>
      </c>
      <c r="C118" s="7" t="s">
        <v>983</v>
      </c>
    </row>
    <row r="119" spans="1:3">
      <c r="A119" s="7" t="s">
        <v>2237</v>
      </c>
      <c r="B119" s="7" t="s">
        <v>2238</v>
      </c>
      <c r="C119" s="7" t="s">
        <v>984</v>
      </c>
    </row>
    <row r="120" spans="1:3">
      <c r="A120" s="7" t="s">
        <v>2239</v>
      </c>
      <c r="B120" s="7" t="s">
        <v>2240</v>
      </c>
      <c r="C120" s="7" t="s">
        <v>985</v>
      </c>
    </row>
    <row r="121" spans="1:3">
      <c r="A121" s="7" t="s">
        <v>2241</v>
      </c>
      <c r="B121" s="7" t="s">
        <v>2242</v>
      </c>
      <c r="C121" s="7" t="s">
        <v>986</v>
      </c>
    </row>
    <row r="122" spans="1:3">
      <c r="A122" s="7" t="s">
        <v>2243</v>
      </c>
      <c r="B122" s="7" t="s">
        <v>2244</v>
      </c>
      <c r="C122" s="7" t="s">
        <v>987</v>
      </c>
    </row>
    <row r="123" spans="1:3">
      <c r="A123" s="7" t="s">
        <v>2245</v>
      </c>
      <c r="B123" s="7" t="s">
        <v>2246</v>
      </c>
      <c r="C123" s="7" t="s">
        <v>988</v>
      </c>
    </row>
    <row r="124" spans="1:3">
      <c r="A124" s="7" t="s">
        <v>2247</v>
      </c>
      <c r="B124" s="7" t="s">
        <v>2248</v>
      </c>
      <c r="C124" s="7" t="s">
        <v>989</v>
      </c>
    </row>
    <row r="125" spans="1:3">
      <c r="A125" s="7" t="s">
        <v>2249</v>
      </c>
      <c r="B125" s="7" t="s">
        <v>2250</v>
      </c>
      <c r="C125" s="7" t="s">
        <v>990</v>
      </c>
    </row>
    <row r="126" spans="1:3">
      <c r="A126" s="7" t="s">
        <v>2251</v>
      </c>
      <c r="B126" s="7" t="s">
        <v>2252</v>
      </c>
      <c r="C126" s="7" t="s">
        <v>991</v>
      </c>
    </row>
    <row r="127" spans="1:3">
      <c r="A127" s="7" t="s">
        <v>2253</v>
      </c>
      <c r="B127" s="7" t="s">
        <v>2254</v>
      </c>
      <c r="C127" s="7" t="s">
        <v>992</v>
      </c>
    </row>
    <row r="128" spans="1:3">
      <c r="A128" s="7" t="s">
        <v>2255</v>
      </c>
      <c r="B128" s="7" t="s">
        <v>2256</v>
      </c>
      <c r="C128" s="7" t="s">
        <v>993</v>
      </c>
    </row>
    <row r="129" spans="1:3">
      <c r="A129" s="7" t="s">
        <v>2257</v>
      </c>
      <c r="B129" s="7" t="s">
        <v>2258</v>
      </c>
      <c r="C129" s="7" t="s">
        <v>994</v>
      </c>
    </row>
    <row r="130" spans="1:3">
      <c r="A130" s="7" t="s">
        <v>2259</v>
      </c>
      <c r="B130" s="7" t="s">
        <v>2260</v>
      </c>
      <c r="C130" s="7" t="s">
        <v>995</v>
      </c>
    </row>
    <row r="131" spans="1:3">
      <c r="A131" s="7" t="s">
        <v>2261</v>
      </c>
      <c r="B131" s="7" t="s">
        <v>2262</v>
      </c>
      <c r="C131" s="7" t="s">
        <v>996</v>
      </c>
    </row>
    <row r="132" spans="1:3">
      <c r="A132" s="7" t="s">
        <v>2263</v>
      </c>
      <c r="B132" s="7" t="s">
        <v>2264</v>
      </c>
      <c r="C132" s="7" t="s">
        <v>997</v>
      </c>
    </row>
    <row r="133" spans="1:3">
      <c r="A133" s="7" t="s">
        <v>2265</v>
      </c>
      <c r="B133" s="7" t="s">
        <v>2266</v>
      </c>
      <c r="C133" s="7" t="s">
        <v>998</v>
      </c>
    </row>
    <row r="134" spans="1:3">
      <c r="A134" s="7" t="s">
        <v>2267</v>
      </c>
      <c r="B134" s="7" t="s">
        <v>2268</v>
      </c>
      <c r="C134" s="7" t="s">
        <v>999</v>
      </c>
    </row>
    <row r="135" spans="1:3">
      <c r="A135" s="7" t="s">
        <v>2269</v>
      </c>
      <c r="B135" s="7" t="s">
        <v>2270</v>
      </c>
      <c r="C135" s="7" t="s">
        <v>1000</v>
      </c>
    </row>
    <row r="136" spans="1:3">
      <c r="A136" s="7" t="s">
        <v>2271</v>
      </c>
      <c r="B136" s="7" t="s">
        <v>2272</v>
      </c>
      <c r="C136" s="7" t="s">
        <v>1001</v>
      </c>
    </row>
    <row r="137" spans="1:3">
      <c r="A137" s="7" t="s">
        <v>2273</v>
      </c>
      <c r="B137" s="7" t="s">
        <v>2274</v>
      </c>
      <c r="C137" s="7" t="s">
        <v>1002</v>
      </c>
    </row>
    <row r="138" spans="1:3">
      <c r="A138" s="7" t="s">
        <v>2275</v>
      </c>
      <c r="B138" s="7" t="s">
        <v>2276</v>
      </c>
      <c r="C138" s="7" t="s">
        <v>1003</v>
      </c>
    </row>
    <row r="139" spans="1:3">
      <c r="A139" s="7" t="s">
        <v>2277</v>
      </c>
      <c r="B139" s="7" t="s">
        <v>2278</v>
      </c>
      <c r="C139" s="7" t="s">
        <v>1004</v>
      </c>
    </row>
    <row r="140" spans="1:3">
      <c r="A140" s="7" t="s">
        <v>2279</v>
      </c>
      <c r="B140" s="7" t="s">
        <v>2279</v>
      </c>
      <c r="C140" s="7" t="s">
        <v>1005</v>
      </c>
    </row>
    <row r="141" spans="1:3">
      <c r="A141" s="7" t="s">
        <v>2280</v>
      </c>
      <c r="B141" s="7" t="s">
        <v>2268</v>
      </c>
      <c r="C141" s="7" t="s">
        <v>1006</v>
      </c>
    </row>
    <row r="142" spans="1:3">
      <c r="A142" s="7" t="s">
        <v>2281</v>
      </c>
      <c r="B142" s="7" t="s">
        <v>2282</v>
      </c>
      <c r="C142" s="7" t="s">
        <v>1007</v>
      </c>
    </row>
    <row r="143" spans="1:3">
      <c r="A143" s="7" t="s">
        <v>2283</v>
      </c>
      <c r="B143" s="7" t="s">
        <v>2284</v>
      </c>
      <c r="C143" s="7" t="s">
        <v>1008</v>
      </c>
    </row>
    <row r="144" spans="1:3">
      <c r="A144" s="7" t="s">
        <v>2285</v>
      </c>
      <c r="B144" s="7" t="s">
        <v>2286</v>
      </c>
      <c r="C144" s="7" t="s">
        <v>1009</v>
      </c>
    </row>
    <row r="145" spans="1:3">
      <c r="A145" s="7" t="s">
        <v>2287</v>
      </c>
      <c r="B145" s="7" t="s">
        <v>2288</v>
      </c>
      <c r="C145" s="7" t="s">
        <v>1010</v>
      </c>
    </row>
    <row r="146" spans="1:3">
      <c r="A146" s="7" t="s">
        <v>2289</v>
      </c>
      <c r="B146" s="7" t="s">
        <v>2290</v>
      </c>
      <c r="C146" s="7" t="s">
        <v>1011</v>
      </c>
    </row>
    <row r="147" spans="1:3">
      <c r="A147" s="7" t="s">
        <v>2291</v>
      </c>
      <c r="B147" s="7" t="s">
        <v>2292</v>
      </c>
      <c r="C147" s="7" t="s">
        <v>1012</v>
      </c>
    </row>
    <row r="148" spans="1:3">
      <c r="A148" s="7" t="s">
        <v>2293</v>
      </c>
      <c r="B148" s="7" t="s">
        <v>2294</v>
      </c>
      <c r="C148" s="7" t="s">
        <v>1013</v>
      </c>
    </row>
    <row r="149" spans="1:3">
      <c r="A149" s="7" t="s">
        <v>2295</v>
      </c>
      <c r="B149" s="7" t="s">
        <v>2296</v>
      </c>
      <c r="C149" s="7" t="s">
        <v>1014</v>
      </c>
    </row>
    <row r="150" spans="1:3">
      <c r="A150" s="7" t="s">
        <v>2297</v>
      </c>
      <c r="B150" s="7" t="s">
        <v>2298</v>
      </c>
      <c r="C150" s="7" t="s">
        <v>1015</v>
      </c>
    </row>
    <row r="151" spans="1:3">
      <c r="A151" s="7" t="s">
        <v>2299</v>
      </c>
      <c r="B151" s="7" t="s">
        <v>2300</v>
      </c>
      <c r="C151" s="7" t="s">
        <v>1016</v>
      </c>
    </row>
    <row r="152" spans="1:3">
      <c r="A152" s="7" t="s">
        <v>2301</v>
      </c>
      <c r="B152" s="7" t="s">
        <v>2302</v>
      </c>
      <c r="C152" s="7" t="s">
        <v>1017</v>
      </c>
    </row>
    <row r="153" spans="1:3">
      <c r="A153" s="7" t="s">
        <v>2303</v>
      </c>
      <c r="B153" s="7" t="s">
        <v>2304</v>
      </c>
      <c r="C153" s="7" t="s">
        <v>1018</v>
      </c>
    </row>
    <row r="154" spans="1:3">
      <c r="A154" s="7" t="s">
        <v>2305</v>
      </c>
      <c r="B154" s="7" t="s">
        <v>2306</v>
      </c>
      <c r="C154" s="7" t="s">
        <v>1019</v>
      </c>
    </row>
    <row r="155" spans="1:3">
      <c r="A155" s="7" t="s">
        <v>2307</v>
      </c>
      <c r="B155" s="7" t="s">
        <v>2308</v>
      </c>
      <c r="C155" s="7" t="s">
        <v>1020</v>
      </c>
    </row>
    <row r="156" spans="1:3">
      <c r="A156" s="7" t="s">
        <v>2309</v>
      </c>
      <c r="B156" s="7" t="s">
        <v>2310</v>
      </c>
      <c r="C156" s="7" t="s">
        <v>1021</v>
      </c>
    </row>
    <row r="157" spans="1:3">
      <c r="A157" s="7" t="s">
        <v>2311</v>
      </c>
      <c r="B157" s="7" t="s">
        <v>2312</v>
      </c>
      <c r="C157" s="7" t="s">
        <v>1022</v>
      </c>
    </row>
    <row r="158" spans="1:3">
      <c r="A158" s="7" t="s">
        <v>2313</v>
      </c>
      <c r="B158" s="7" t="s">
        <v>2314</v>
      </c>
      <c r="C158" s="7" t="s">
        <v>1023</v>
      </c>
    </row>
    <row r="159" spans="1:3">
      <c r="A159" s="7" t="s">
        <v>2315</v>
      </c>
      <c r="B159" s="7" t="s">
        <v>2316</v>
      </c>
      <c r="C159" s="7" t="s">
        <v>1024</v>
      </c>
    </row>
    <row r="160" spans="1:3">
      <c r="A160" s="7" t="s">
        <v>2317</v>
      </c>
      <c r="B160" s="7" t="s">
        <v>2318</v>
      </c>
      <c r="C160" s="7" t="s">
        <v>1025</v>
      </c>
    </row>
    <row r="161" spans="1:3">
      <c r="A161" s="7" t="s">
        <v>2319</v>
      </c>
      <c r="B161" s="7" t="s">
        <v>2320</v>
      </c>
      <c r="C161" s="7" t="s">
        <v>1026</v>
      </c>
    </row>
    <row r="162" spans="1:3">
      <c r="A162" s="7" t="s">
        <v>2321</v>
      </c>
      <c r="B162" s="7" t="s">
        <v>2322</v>
      </c>
      <c r="C162" s="7" t="s">
        <v>1027</v>
      </c>
    </row>
    <row r="163" spans="1:3">
      <c r="A163" s="7" t="s">
        <v>2323</v>
      </c>
      <c r="B163" s="7" t="s">
        <v>2324</v>
      </c>
      <c r="C163" s="7" t="s">
        <v>1028</v>
      </c>
    </row>
    <row r="164" spans="1:3">
      <c r="A164" s="7" t="s">
        <v>2325</v>
      </c>
      <c r="B164" s="7" t="s">
        <v>2326</v>
      </c>
      <c r="C164" s="7" t="s">
        <v>1029</v>
      </c>
    </row>
    <row r="165" spans="1:3">
      <c r="A165" s="7" t="s">
        <v>2327</v>
      </c>
      <c r="B165" s="7" t="s">
        <v>2328</v>
      </c>
      <c r="C165" s="7" t="s">
        <v>1030</v>
      </c>
    </row>
    <row r="166" spans="1:3">
      <c r="A166" s="7" t="s">
        <v>2329</v>
      </c>
      <c r="B166" s="7" t="s">
        <v>2330</v>
      </c>
      <c r="C166" s="7" t="s">
        <v>1031</v>
      </c>
    </row>
    <row r="167" spans="1:3">
      <c r="A167" s="7" t="s">
        <v>2331</v>
      </c>
      <c r="B167" s="7" t="s">
        <v>2332</v>
      </c>
      <c r="C167" s="7" t="s">
        <v>1032</v>
      </c>
    </row>
    <row r="168" spans="1:3">
      <c r="A168" s="7" t="s">
        <v>2333</v>
      </c>
      <c r="B168" s="7" t="s">
        <v>2334</v>
      </c>
      <c r="C168" s="7" t="s">
        <v>1033</v>
      </c>
    </row>
    <row r="169" spans="1:3">
      <c r="A169" s="7" t="s">
        <v>2335</v>
      </c>
      <c r="B169" s="7" t="s">
        <v>2336</v>
      </c>
      <c r="C169" s="7" t="s">
        <v>1034</v>
      </c>
    </row>
    <row r="170" spans="1:3">
      <c r="A170" s="7" t="s">
        <v>2337</v>
      </c>
      <c r="B170" s="7" t="s">
        <v>2338</v>
      </c>
      <c r="C170" s="7" t="s">
        <v>1035</v>
      </c>
    </row>
    <row r="171" spans="1:3">
      <c r="A171" s="7" t="s">
        <v>2339</v>
      </c>
      <c r="B171" s="7" t="s">
        <v>2340</v>
      </c>
      <c r="C171" s="7" t="s">
        <v>1036</v>
      </c>
    </row>
    <row r="172" spans="1:3">
      <c r="A172" s="7" t="s">
        <v>2341</v>
      </c>
      <c r="B172" s="7" t="s">
        <v>2342</v>
      </c>
      <c r="C172" s="7" t="s">
        <v>1037</v>
      </c>
    </row>
    <row r="173" spans="1:3">
      <c r="A173" s="7" t="s">
        <v>2343</v>
      </c>
      <c r="B173" s="7" t="s">
        <v>2344</v>
      </c>
      <c r="C173" s="7" t="s">
        <v>1038</v>
      </c>
    </row>
    <row r="174" spans="1:3">
      <c r="A174" s="7" t="s">
        <v>2345</v>
      </c>
      <c r="B174" s="7" t="s">
        <v>2346</v>
      </c>
      <c r="C174" s="7" t="s">
        <v>1039</v>
      </c>
    </row>
    <row r="175" spans="1:3">
      <c r="A175" s="7" t="s">
        <v>2347</v>
      </c>
      <c r="B175" s="7" t="s">
        <v>2348</v>
      </c>
      <c r="C175" s="7" t="s">
        <v>1040</v>
      </c>
    </row>
    <row r="176" spans="1:3">
      <c r="A176" s="7" t="s">
        <v>2349</v>
      </c>
      <c r="B176" s="7" t="s">
        <v>2350</v>
      </c>
      <c r="C176" s="7" t="s">
        <v>1041</v>
      </c>
    </row>
    <row r="177" spans="1:3">
      <c r="A177" s="7" t="s">
        <v>2351</v>
      </c>
      <c r="B177" s="7" t="s">
        <v>2352</v>
      </c>
      <c r="C177" s="7" t="s">
        <v>1042</v>
      </c>
    </row>
    <row r="178" spans="1:3">
      <c r="A178" s="7" t="s">
        <v>2353</v>
      </c>
      <c r="B178" s="7" t="s">
        <v>2354</v>
      </c>
      <c r="C178" s="7" t="s">
        <v>1043</v>
      </c>
    </row>
    <row r="179" spans="1:3">
      <c r="A179" s="7" t="s">
        <v>2355</v>
      </c>
      <c r="B179" s="7" t="s">
        <v>2356</v>
      </c>
      <c r="C179" s="7" t="s">
        <v>1044</v>
      </c>
    </row>
    <row r="180" spans="1:3">
      <c r="A180" s="7" t="s">
        <v>2357</v>
      </c>
      <c r="B180" s="7" t="s">
        <v>2358</v>
      </c>
      <c r="C180" s="7" t="s">
        <v>1045</v>
      </c>
    </row>
    <row r="181" spans="1:3">
      <c r="A181" s="7" t="s">
        <v>2359</v>
      </c>
      <c r="B181" s="7" t="s">
        <v>2360</v>
      </c>
      <c r="C181" s="7" t="s">
        <v>1046</v>
      </c>
    </row>
    <row r="182" spans="1:3">
      <c r="A182" s="7" t="s">
        <v>2361</v>
      </c>
      <c r="B182" s="7" t="s">
        <v>2362</v>
      </c>
      <c r="C182" s="7" t="s">
        <v>1047</v>
      </c>
    </row>
    <row r="183" spans="1:3">
      <c r="A183" s="7" t="s">
        <v>2363</v>
      </c>
      <c r="B183" s="7" t="s">
        <v>2364</v>
      </c>
      <c r="C183" s="7" t="s">
        <v>1048</v>
      </c>
    </row>
    <row r="184" spans="1:3">
      <c r="A184" s="7" t="s">
        <v>2365</v>
      </c>
      <c r="B184" s="7" t="s">
        <v>2366</v>
      </c>
      <c r="C184" s="7" t="s">
        <v>1049</v>
      </c>
    </row>
    <row r="185" spans="1:3">
      <c r="A185" s="7" t="s">
        <v>2367</v>
      </c>
      <c r="B185" s="7" t="s">
        <v>2368</v>
      </c>
      <c r="C185" s="7" t="s">
        <v>1050</v>
      </c>
    </row>
    <row r="186" spans="1:3">
      <c r="A186" s="7" t="s">
        <v>2369</v>
      </c>
      <c r="B186" s="7" t="s">
        <v>2370</v>
      </c>
      <c r="C186" s="7" t="s">
        <v>1051</v>
      </c>
    </row>
    <row r="187" spans="1:3">
      <c r="A187" s="7" t="s">
        <v>2371</v>
      </c>
      <c r="B187" s="7" t="s">
        <v>2372</v>
      </c>
      <c r="C187" s="7" t="s">
        <v>1052</v>
      </c>
    </row>
    <row r="188" spans="1:3">
      <c r="A188" s="7" t="s">
        <v>2373</v>
      </c>
      <c r="B188" s="7" t="s">
        <v>2374</v>
      </c>
      <c r="C188" s="7" t="s">
        <v>1053</v>
      </c>
    </row>
    <row r="189" spans="1:3">
      <c r="A189" s="7" t="s">
        <v>2375</v>
      </c>
      <c r="B189" s="7" t="s">
        <v>2376</v>
      </c>
      <c r="C189" s="7" t="s">
        <v>1054</v>
      </c>
    </row>
    <row r="190" spans="1:3">
      <c r="A190" s="7" t="s">
        <v>2377</v>
      </c>
      <c r="B190" s="7" t="s">
        <v>2378</v>
      </c>
      <c r="C190" s="7" t="s">
        <v>1055</v>
      </c>
    </row>
    <row r="191" spans="1:3">
      <c r="A191" s="7" t="s">
        <v>2379</v>
      </c>
      <c r="B191" s="7" t="s">
        <v>2380</v>
      </c>
      <c r="C191" s="7" t="s">
        <v>1056</v>
      </c>
    </row>
    <row r="192" spans="1:3">
      <c r="A192" s="7" t="s">
        <v>2381</v>
      </c>
      <c r="B192" s="7" t="s">
        <v>2382</v>
      </c>
      <c r="C192" s="7" t="s">
        <v>1057</v>
      </c>
    </row>
    <row r="193" spans="1:3">
      <c r="A193" s="7" t="s">
        <v>2383</v>
      </c>
      <c r="B193" s="7" t="s">
        <v>2384</v>
      </c>
      <c r="C193" s="7" t="s">
        <v>1058</v>
      </c>
    </row>
    <row r="194" spans="1:3">
      <c r="A194" s="7" t="s">
        <v>2385</v>
      </c>
      <c r="B194" s="7" t="s">
        <v>2386</v>
      </c>
      <c r="C194" s="7" t="s">
        <v>1059</v>
      </c>
    </row>
    <row r="195" spans="1:3">
      <c r="A195" s="7" t="s">
        <v>2387</v>
      </c>
      <c r="B195" s="7" t="s">
        <v>2388</v>
      </c>
      <c r="C195" s="7" t="s">
        <v>1060</v>
      </c>
    </row>
    <row r="196" spans="1:3">
      <c r="A196" s="7" t="s">
        <v>2389</v>
      </c>
      <c r="B196" s="7" t="s">
        <v>2390</v>
      </c>
      <c r="C196" s="7" t="s">
        <v>1061</v>
      </c>
    </row>
    <row r="197" spans="1:3">
      <c r="A197" s="7" t="s">
        <v>2391</v>
      </c>
      <c r="B197" s="7" t="s">
        <v>2392</v>
      </c>
      <c r="C197" s="7" t="s">
        <v>1062</v>
      </c>
    </row>
    <row r="198" spans="1:3">
      <c r="A198" s="7" t="s">
        <v>2393</v>
      </c>
      <c r="B198" s="7" t="s">
        <v>2394</v>
      </c>
      <c r="C198" s="7" t="s">
        <v>1063</v>
      </c>
    </row>
    <row r="199" spans="1:3">
      <c r="A199" s="7" t="s">
        <v>2395</v>
      </c>
      <c r="B199" s="7" t="s">
        <v>2396</v>
      </c>
      <c r="C199" s="7" t="s">
        <v>1064</v>
      </c>
    </row>
    <row r="200" spans="1:3">
      <c r="A200" s="7" t="s">
        <v>2397</v>
      </c>
      <c r="B200" s="7" t="s">
        <v>2398</v>
      </c>
      <c r="C200" s="7" t="s">
        <v>1065</v>
      </c>
    </row>
    <row r="201" spans="1:3">
      <c r="A201" s="7" t="s">
        <v>2399</v>
      </c>
      <c r="B201" s="7" t="s">
        <v>2400</v>
      </c>
      <c r="C201" s="7" t="s">
        <v>1066</v>
      </c>
    </row>
    <row r="202" spans="1:3">
      <c r="A202" s="7" t="s">
        <v>2401</v>
      </c>
      <c r="B202" s="7" t="s">
        <v>2402</v>
      </c>
      <c r="C202" s="7" t="s">
        <v>1067</v>
      </c>
    </row>
    <row r="203" spans="1:3">
      <c r="A203" s="7" t="s">
        <v>2403</v>
      </c>
      <c r="B203" s="7" t="s">
        <v>2404</v>
      </c>
      <c r="C203" s="7" t="s">
        <v>1068</v>
      </c>
    </row>
    <row r="204" spans="1:3">
      <c r="A204" s="7" t="s">
        <v>2405</v>
      </c>
      <c r="B204" s="7" t="s">
        <v>2406</v>
      </c>
      <c r="C204" s="7" t="s">
        <v>1069</v>
      </c>
    </row>
    <row r="205" spans="1:3">
      <c r="A205" s="7" t="s">
        <v>2407</v>
      </c>
      <c r="B205" s="7" t="s">
        <v>2408</v>
      </c>
      <c r="C205" s="7" t="s">
        <v>1070</v>
      </c>
    </row>
    <row r="206" spans="1:3">
      <c r="A206" s="7" t="s">
        <v>2409</v>
      </c>
      <c r="B206" s="7" t="s">
        <v>2410</v>
      </c>
      <c r="C206" s="7" t="s">
        <v>1071</v>
      </c>
    </row>
    <row r="207" spans="1:3">
      <c r="A207" s="7" t="s">
        <v>2411</v>
      </c>
      <c r="B207" s="7" t="s">
        <v>2412</v>
      </c>
      <c r="C207" s="7" t="s">
        <v>1072</v>
      </c>
    </row>
    <row r="208" spans="1:3">
      <c r="A208" s="7" t="s">
        <v>2413</v>
      </c>
      <c r="B208" s="7" t="s">
        <v>2414</v>
      </c>
      <c r="C208" s="7" t="s">
        <v>1073</v>
      </c>
    </row>
    <row r="209" spans="1:3">
      <c r="A209" s="7" t="s">
        <v>2415</v>
      </c>
      <c r="B209" s="7" t="s">
        <v>2416</v>
      </c>
      <c r="C209" s="7" t="s">
        <v>1074</v>
      </c>
    </row>
    <row r="210" spans="1:3">
      <c r="A210" s="7" t="s">
        <v>2417</v>
      </c>
      <c r="B210" s="7" t="s">
        <v>2418</v>
      </c>
      <c r="C210" s="7" t="s">
        <v>1075</v>
      </c>
    </row>
    <row r="211" spans="1:3">
      <c r="A211" s="7" t="s">
        <v>2419</v>
      </c>
      <c r="B211" s="7" t="s">
        <v>2420</v>
      </c>
      <c r="C211" s="7" t="s">
        <v>1076</v>
      </c>
    </row>
    <row r="212" spans="1:3">
      <c r="A212" s="7" t="s">
        <v>2421</v>
      </c>
      <c r="B212" s="7" t="s">
        <v>2422</v>
      </c>
      <c r="C212" s="7" t="s">
        <v>1077</v>
      </c>
    </row>
    <row r="213" spans="1:3">
      <c r="A213" s="7" t="s">
        <v>2423</v>
      </c>
      <c r="B213" s="7" t="s">
        <v>2424</v>
      </c>
      <c r="C213" s="7" t="s">
        <v>1078</v>
      </c>
    </row>
    <row r="214" spans="1:3">
      <c r="A214" s="7" t="s">
        <v>2425</v>
      </c>
      <c r="B214" s="7" t="s">
        <v>2426</v>
      </c>
      <c r="C214" s="7" t="s">
        <v>1079</v>
      </c>
    </row>
    <row r="215" spans="1:3">
      <c r="A215" s="7" t="s">
        <v>2427</v>
      </c>
      <c r="B215" s="7" t="s">
        <v>2428</v>
      </c>
      <c r="C215" s="7" t="s">
        <v>1080</v>
      </c>
    </row>
    <row r="216" spans="1:3">
      <c r="A216" s="7" t="s">
        <v>2429</v>
      </c>
      <c r="B216" s="7" t="s">
        <v>2430</v>
      </c>
      <c r="C216" s="7" t="s">
        <v>1081</v>
      </c>
    </row>
    <row r="217" spans="1:3">
      <c r="A217" s="7" t="s">
        <v>2431</v>
      </c>
      <c r="B217" s="7" t="s">
        <v>2432</v>
      </c>
      <c r="C217" s="7" t="s">
        <v>1082</v>
      </c>
    </row>
    <row r="218" spans="1:3">
      <c r="A218" s="7" t="s">
        <v>2433</v>
      </c>
      <c r="B218" s="7" t="s">
        <v>2434</v>
      </c>
      <c r="C218" s="7" t="s">
        <v>1083</v>
      </c>
    </row>
    <row r="219" spans="1:3">
      <c r="A219" s="7" t="s">
        <v>2435</v>
      </c>
      <c r="B219" s="7" t="s">
        <v>2436</v>
      </c>
      <c r="C219" s="7" t="s">
        <v>1084</v>
      </c>
    </row>
    <row r="220" spans="1:3">
      <c r="A220" s="7" t="s">
        <v>2437</v>
      </c>
      <c r="B220" s="7" t="s">
        <v>2438</v>
      </c>
      <c r="C220" s="7" t="s">
        <v>1085</v>
      </c>
    </row>
    <row r="221" spans="1:3">
      <c r="A221" s="7" t="s">
        <v>2439</v>
      </c>
      <c r="B221" s="7" t="s">
        <v>2440</v>
      </c>
      <c r="C221" s="7" t="s">
        <v>1086</v>
      </c>
    </row>
    <row r="222" spans="1:3">
      <c r="A222" s="7" t="s">
        <v>2441</v>
      </c>
      <c r="B222" s="7" t="s">
        <v>2442</v>
      </c>
      <c r="C222" s="7" t="s">
        <v>1087</v>
      </c>
    </row>
    <row r="223" spans="1:3">
      <c r="A223" s="7" t="s">
        <v>2443</v>
      </c>
      <c r="B223" s="7" t="s">
        <v>2444</v>
      </c>
      <c r="C223" s="7" t="s">
        <v>1088</v>
      </c>
    </row>
    <row r="224" spans="1:3">
      <c r="A224" s="7" t="s">
        <v>2445</v>
      </c>
      <c r="B224" s="7" t="s">
        <v>2446</v>
      </c>
      <c r="C224" s="7" t="s">
        <v>1089</v>
      </c>
    </row>
    <row r="225" spans="1:3">
      <c r="A225" s="7" t="s">
        <v>2447</v>
      </c>
      <c r="B225" s="7" t="s">
        <v>2448</v>
      </c>
      <c r="C225" s="7" t="s">
        <v>1090</v>
      </c>
    </row>
    <row r="226" spans="1:3">
      <c r="A226" s="7" t="s">
        <v>2449</v>
      </c>
      <c r="B226" s="7" t="s">
        <v>2450</v>
      </c>
      <c r="C226" s="7" t="s">
        <v>1091</v>
      </c>
    </row>
    <row r="227" spans="1:3">
      <c r="A227" s="7" t="s">
        <v>2451</v>
      </c>
      <c r="B227" s="7" t="s">
        <v>2452</v>
      </c>
      <c r="C227" s="7" t="s">
        <v>1092</v>
      </c>
    </row>
    <row r="228" spans="1:3">
      <c r="A228" s="7" t="s">
        <v>2453</v>
      </c>
      <c r="B228" s="7" t="s">
        <v>2454</v>
      </c>
      <c r="C228" s="7" t="s">
        <v>1093</v>
      </c>
    </row>
    <row r="229" spans="1:3">
      <c r="A229" s="7" t="s">
        <v>2455</v>
      </c>
      <c r="B229" s="7" t="s">
        <v>2456</v>
      </c>
      <c r="C229" s="7" t="s">
        <v>1094</v>
      </c>
    </row>
    <row r="230" spans="1:3">
      <c r="A230" s="7" t="s">
        <v>2457</v>
      </c>
      <c r="B230" s="7" t="s">
        <v>2458</v>
      </c>
      <c r="C230" s="7" t="s">
        <v>1095</v>
      </c>
    </row>
    <row r="231" spans="1:3">
      <c r="A231" s="7" t="s">
        <v>2459</v>
      </c>
      <c r="B231" s="7" t="s">
        <v>2460</v>
      </c>
      <c r="C231" s="7" t="s">
        <v>1096</v>
      </c>
    </row>
    <row r="232" spans="1:3">
      <c r="A232" s="7" t="s">
        <v>2461</v>
      </c>
      <c r="B232" s="7" t="s">
        <v>2462</v>
      </c>
      <c r="C232" s="7" t="s">
        <v>1097</v>
      </c>
    </row>
    <row r="233" spans="1:3">
      <c r="A233" s="7" t="s">
        <v>2463</v>
      </c>
      <c r="B233" s="7" t="s">
        <v>2464</v>
      </c>
      <c r="C233" s="7" t="s">
        <v>1098</v>
      </c>
    </row>
    <row r="234" spans="1:3">
      <c r="A234" s="7" t="s">
        <v>2465</v>
      </c>
      <c r="B234" s="7" t="s">
        <v>2466</v>
      </c>
      <c r="C234" s="7" t="s">
        <v>1099</v>
      </c>
    </row>
    <row r="235" spans="1:3">
      <c r="A235" s="7" t="s">
        <v>2467</v>
      </c>
      <c r="B235" s="7" t="s">
        <v>2468</v>
      </c>
      <c r="C235" s="7" t="s">
        <v>1100</v>
      </c>
    </row>
    <row r="236" spans="1:3">
      <c r="A236" s="7" t="s">
        <v>2469</v>
      </c>
      <c r="B236" s="7" t="s">
        <v>2470</v>
      </c>
      <c r="C236" s="7" t="s">
        <v>1101</v>
      </c>
    </row>
    <row r="237" spans="1:3">
      <c r="A237" s="7" t="s">
        <v>2471</v>
      </c>
      <c r="B237" s="7" t="s">
        <v>2472</v>
      </c>
      <c r="C237" s="7" t="s">
        <v>1102</v>
      </c>
    </row>
    <row r="238" spans="1:3">
      <c r="A238" s="7" t="s">
        <v>2473</v>
      </c>
      <c r="B238" s="7" t="s">
        <v>2474</v>
      </c>
      <c r="C238" s="7" t="s">
        <v>1103</v>
      </c>
    </row>
    <row r="239" spans="1:3">
      <c r="A239" s="7" t="s">
        <v>2475</v>
      </c>
      <c r="B239" s="7" t="s">
        <v>2476</v>
      </c>
      <c r="C239" s="7" t="s">
        <v>1104</v>
      </c>
    </row>
    <row r="240" spans="1:3">
      <c r="A240" s="7" t="s">
        <v>2477</v>
      </c>
      <c r="B240" s="7" t="s">
        <v>2478</v>
      </c>
      <c r="C240" s="7" t="s">
        <v>1105</v>
      </c>
    </row>
    <row r="241" spans="1:3">
      <c r="A241" s="7" t="s">
        <v>2479</v>
      </c>
      <c r="B241" s="7" t="s">
        <v>2480</v>
      </c>
      <c r="C241" s="7" t="s">
        <v>1106</v>
      </c>
    </row>
    <row r="242" spans="1:3">
      <c r="A242" s="7" t="s">
        <v>2481</v>
      </c>
      <c r="B242" s="7" t="s">
        <v>2482</v>
      </c>
      <c r="C242" s="7" t="s">
        <v>1107</v>
      </c>
    </row>
    <row r="243" spans="1:3">
      <c r="A243" s="7" t="s">
        <v>2483</v>
      </c>
      <c r="B243" s="7" t="s">
        <v>2484</v>
      </c>
      <c r="C243" s="7" t="s">
        <v>1108</v>
      </c>
    </row>
    <row r="244" spans="1:3">
      <c r="A244" s="7" t="s">
        <v>2485</v>
      </c>
      <c r="B244" s="7" t="s">
        <v>2486</v>
      </c>
      <c r="C244" s="7" t="s">
        <v>1109</v>
      </c>
    </row>
    <row r="245" spans="1:3">
      <c r="A245" s="7" t="s">
        <v>2487</v>
      </c>
      <c r="B245" s="7" t="s">
        <v>2488</v>
      </c>
      <c r="C245" s="7" t="s">
        <v>1110</v>
      </c>
    </row>
    <row r="246" spans="1:3">
      <c r="A246" s="7" t="s">
        <v>2489</v>
      </c>
      <c r="B246" s="7" t="s">
        <v>2490</v>
      </c>
      <c r="C246" s="7" t="s">
        <v>1111</v>
      </c>
    </row>
    <row r="247" spans="1:3">
      <c r="A247" s="7" t="s">
        <v>2491</v>
      </c>
      <c r="B247" s="7" t="s">
        <v>2492</v>
      </c>
      <c r="C247" s="7" t="s">
        <v>1112</v>
      </c>
    </row>
    <row r="248" spans="1:3">
      <c r="A248" s="7" t="s">
        <v>2493</v>
      </c>
      <c r="B248" s="7" t="s">
        <v>2494</v>
      </c>
      <c r="C248" s="7" t="s">
        <v>1113</v>
      </c>
    </row>
    <row r="249" spans="1:3">
      <c r="A249" s="7" t="s">
        <v>2495</v>
      </c>
      <c r="B249" s="7" t="s">
        <v>2496</v>
      </c>
      <c r="C249" s="7" t="s">
        <v>1114</v>
      </c>
    </row>
    <row r="250" spans="1:3">
      <c r="A250" s="7" t="s">
        <v>2497</v>
      </c>
      <c r="B250" s="7" t="s">
        <v>2498</v>
      </c>
      <c r="C250" s="7" t="s">
        <v>1115</v>
      </c>
    </row>
    <row r="251" spans="1:3">
      <c r="A251" s="7" t="s">
        <v>2499</v>
      </c>
      <c r="B251" s="7" t="s">
        <v>2500</v>
      </c>
      <c r="C251" s="7" t="s">
        <v>1116</v>
      </c>
    </row>
    <row r="252" spans="1:3">
      <c r="A252" s="7" t="s">
        <v>2501</v>
      </c>
      <c r="B252" s="7" t="s">
        <v>2502</v>
      </c>
      <c r="C252" s="7" t="s">
        <v>1117</v>
      </c>
    </row>
    <row r="253" spans="1:3">
      <c r="A253" s="7" t="s">
        <v>2503</v>
      </c>
      <c r="B253" s="7" t="s">
        <v>2504</v>
      </c>
      <c r="C253" s="7" t="s">
        <v>1118</v>
      </c>
    </row>
    <row r="254" spans="1:3">
      <c r="A254" s="7" t="s">
        <v>2505</v>
      </c>
      <c r="B254" s="7" t="s">
        <v>2506</v>
      </c>
      <c r="C254" s="7" t="s">
        <v>1119</v>
      </c>
    </row>
    <row r="255" spans="1:3">
      <c r="A255" s="7" t="s">
        <v>2507</v>
      </c>
      <c r="B255" s="7" t="s">
        <v>2508</v>
      </c>
      <c r="C255" s="7" t="s">
        <v>1120</v>
      </c>
    </row>
    <row r="256" spans="1:3">
      <c r="A256" s="7" t="s">
        <v>2509</v>
      </c>
      <c r="B256" s="7" t="s">
        <v>2510</v>
      </c>
      <c r="C256" s="7" t="s">
        <v>1121</v>
      </c>
    </row>
    <row r="257" spans="1:3">
      <c r="A257" s="7" t="s">
        <v>2511</v>
      </c>
      <c r="B257" s="7" t="s">
        <v>2512</v>
      </c>
      <c r="C257" s="7" t="s">
        <v>1122</v>
      </c>
    </row>
    <row r="258" spans="1:3">
      <c r="A258" s="7" t="s">
        <v>2513</v>
      </c>
      <c r="B258" s="7" t="s">
        <v>2514</v>
      </c>
      <c r="C258" s="7" t="s">
        <v>1123</v>
      </c>
    </row>
    <row r="259" spans="1:3">
      <c r="A259" s="7" t="s">
        <v>2515</v>
      </c>
      <c r="B259" s="7" t="s">
        <v>2516</v>
      </c>
      <c r="C259" s="7" t="s">
        <v>1124</v>
      </c>
    </row>
    <row r="260" spans="1:3">
      <c r="A260" s="7" t="s">
        <v>2517</v>
      </c>
      <c r="B260" s="7" t="s">
        <v>2518</v>
      </c>
      <c r="C260" s="7" t="s">
        <v>1125</v>
      </c>
    </row>
    <row r="261" spans="1:3">
      <c r="A261" s="7" t="s">
        <v>2519</v>
      </c>
      <c r="B261" s="7" t="s">
        <v>2520</v>
      </c>
      <c r="C261" s="7" t="s">
        <v>1126</v>
      </c>
    </row>
    <row r="262" spans="1:3">
      <c r="A262" s="7" t="s">
        <v>2521</v>
      </c>
      <c r="B262" s="7" t="s">
        <v>2522</v>
      </c>
      <c r="C262" s="7" t="s">
        <v>1127</v>
      </c>
    </row>
    <row r="263" spans="1:3">
      <c r="A263" s="7" t="s">
        <v>2523</v>
      </c>
      <c r="B263" s="7" t="s">
        <v>2524</v>
      </c>
      <c r="C263" s="7" t="s">
        <v>1128</v>
      </c>
    </row>
    <row r="264" spans="1:3">
      <c r="A264" s="7" t="s">
        <v>2525</v>
      </c>
      <c r="B264" s="7" t="s">
        <v>2526</v>
      </c>
      <c r="C264" s="7" t="s">
        <v>1129</v>
      </c>
    </row>
    <row r="265" spans="1:3">
      <c r="A265" s="7" t="s">
        <v>2527</v>
      </c>
      <c r="B265" s="7" t="s">
        <v>2528</v>
      </c>
      <c r="C265" s="7" t="s">
        <v>1130</v>
      </c>
    </row>
    <row r="266" spans="1:3">
      <c r="A266" s="7" t="s">
        <v>2529</v>
      </c>
      <c r="B266" s="7" t="s">
        <v>2530</v>
      </c>
      <c r="C266" s="7" t="s">
        <v>1131</v>
      </c>
    </row>
    <row r="267" spans="1:3">
      <c r="A267" s="7" t="s">
        <v>2531</v>
      </c>
      <c r="B267" s="7" t="s">
        <v>2532</v>
      </c>
      <c r="C267" s="7" t="s">
        <v>1132</v>
      </c>
    </row>
    <row r="268" spans="1:3">
      <c r="A268" s="7" t="s">
        <v>2533</v>
      </c>
      <c r="B268" s="7" t="s">
        <v>2534</v>
      </c>
      <c r="C268" s="7" t="s">
        <v>1133</v>
      </c>
    </row>
    <row r="269" spans="1:3">
      <c r="A269" s="7" t="s">
        <v>2535</v>
      </c>
      <c r="B269" s="7" t="s">
        <v>2536</v>
      </c>
      <c r="C269" s="7" t="s">
        <v>1134</v>
      </c>
    </row>
    <row r="270" spans="1:3">
      <c r="A270" s="7" t="s">
        <v>2537</v>
      </c>
      <c r="B270" s="7" t="s">
        <v>2538</v>
      </c>
      <c r="C270" s="7" t="s">
        <v>1135</v>
      </c>
    </row>
    <row r="271" spans="1:3">
      <c r="A271" s="7" t="s">
        <v>2539</v>
      </c>
      <c r="B271" s="7" t="s">
        <v>2540</v>
      </c>
      <c r="C271" s="7" t="s">
        <v>1136</v>
      </c>
    </row>
    <row r="272" spans="1:3">
      <c r="A272" s="7" t="s">
        <v>2541</v>
      </c>
      <c r="B272" s="7" t="s">
        <v>2542</v>
      </c>
      <c r="C272" s="7" t="s">
        <v>1137</v>
      </c>
    </row>
    <row r="273" spans="1:3">
      <c r="A273" s="7" t="s">
        <v>2543</v>
      </c>
      <c r="B273" s="7" t="s">
        <v>2544</v>
      </c>
      <c r="C273" s="7" t="s">
        <v>1138</v>
      </c>
    </row>
    <row r="274" spans="1:3">
      <c r="A274" s="7" t="s">
        <v>2545</v>
      </c>
      <c r="B274" s="7" t="s">
        <v>2546</v>
      </c>
      <c r="C274" s="7" t="s">
        <v>1139</v>
      </c>
    </row>
    <row r="275" spans="1:3">
      <c r="A275" s="7" t="s">
        <v>2547</v>
      </c>
      <c r="B275" s="7" t="s">
        <v>2548</v>
      </c>
      <c r="C275" s="7" t="s">
        <v>1140</v>
      </c>
    </row>
    <row r="276" spans="1:3">
      <c r="A276" s="7" t="s">
        <v>2549</v>
      </c>
      <c r="B276" s="7" t="s">
        <v>2550</v>
      </c>
      <c r="C276" s="7" t="s">
        <v>1141</v>
      </c>
    </row>
    <row r="277" spans="1:3">
      <c r="A277" s="7" t="s">
        <v>2551</v>
      </c>
      <c r="B277" s="7" t="s">
        <v>2552</v>
      </c>
      <c r="C277" s="7" t="s">
        <v>1142</v>
      </c>
    </row>
    <row r="278" spans="1:3">
      <c r="A278" s="7" t="s">
        <v>2553</v>
      </c>
      <c r="B278" s="7" t="s">
        <v>2554</v>
      </c>
      <c r="C278" s="7" t="s">
        <v>1143</v>
      </c>
    </row>
    <row r="279" spans="1:3">
      <c r="A279" s="7" t="s">
        <v>2555</v>
      </c>
      <c r="B279" s="7" t="s">
        <v>2556</v>
      </c>
      <c r="C279" s="7" t="s">
        <v>1144</v>
      </c>
    </row>
    <row r="280" spans="1:3">
      <c r="A280" s="7" t="s">
        <v>2557</v>
      </c>
      <c r="B280" s="7" t="s">
        <v>2558</v>
      </c>
      <c r="C280" s="7" t="s">
        <v>1145</v>
      </c>
    </row>
    <row r="281" spans="1:3">
      <c r="A281" s="7" t="s">
        <v>2559</v>
      </c>
      <c r="B281" s="7" t="s">
        <v>2560</v>
      </c>
      <c r="C281" s="7" t="s">
        <v>1146</v>
      </c>
    </row>
    <row r="282" spans="1:3">
      <c r="A282" s="7" t="s">
        <v>2561</v>
      </c>
      <c r="B282" s="7" t="s">
        <v>2562</v>
      </c>
      <c r="C282" s="7" t="s">
        <v>1147</v>
      </c>
    </row>
    <row r="283" spans="1:3">
      <c r="A283" s="7" t="s">
        <v>2563</v>
      </c>
      <c r="B283" s="7" t="s">
        <v>2564</v>
      </c>
      <c r="C283" s="7" t="s">
        <v>1148</v>
      </c>
    </row>
    <row r="284" spans="1:3">
      <c r="A284" s="7" t="s">
        <v>2565</v>
      </c>
      <c r="B284" s="7" t="s">
        <v>2566</v>
      </c>
      <c r="C284" s="7" t="s">
        <v>1149</v>
      </c>
    </row>
    <row r="285" spans="1:3">
      <c r="A285" s="7" t="s">
        <v>2567</v>
      </c>
      <c r="B285" s="7" t="s">
        <v>2568</v>
      </c>
      <c r="C285" s="7" t="s">
        <v>1150</v>
      </c>
    </row>
    <row r="286" spans="1:3">
      <c r="A286" s="7" t="s">
        <v>2569</v>
      </c>
      <c r="B286" s="7" t="s">
        <v>2570</v>
      </c>
      <c r="C286" s="7" t="s">
        <v>1151</v>
      </c>
    </row>
    <row r="287" spans="1:3">
      <c r="A287" s="7" t="s">
        <v>2571</v>
      </c>
      <c r="B287" s="7" t="s">
        <v>2572</v>
      </c>
      <c r="C287" s="7" t="s">
        <v>1152</v>
      </c>
    </row>
    <row r="288" spans="1:3">
      <c r="A288" s="7" t="s">
        <v>2573</v>
      </c>
      <c r="B288" s="7" t="s">
        <v>2574</v>
      </c>
      <c r="C288" s="7" t="s">
        <v>1153</v>
      </c>
    </row>
    <row r="289" spans="1:3">
      <c r="A289" s="7" t="s">
        <v>2575</v>
      </c>
      <c r="B289" s="7" t="s">
        <v>2576</v>
      </c>
      <c r="C289" s="7" t="s">
        <v>1154</v>
      </c>
    </row>
    <row r="290" spans="1:3">
      <c r="A290" s="7" t="s">
        <v>2577</v>
      </c>
      <c r="B290" s="7" t="s">
        <v>2578</v>
      </c>
      <c r="C290" s="7" t="s">
        <v>1155</v>
      </c>
    </row>
    <row r="291" spans="1:3">
      <c r="A291" s="7" t="s">
        <v>2579</v>
      </c>
      <c r="B291" s="7" t="s">
        <v>2580</v>
      </c>
      <c r="C291" s="7" t="s">
        <v>1156</v>
      </c>
    </row>
    <row r="292" spans="1:3">
      <c r="A292" s="7" t="s">
        <v>2581</v>
      </c>
      <c r="B292" s="7" t="s">
        <v>2582</v>
      </c>
      <c r="C292" s="7" t="s">
        <v>1157</v>
      </c>
    </row>
    <row r="293" spans="1:3">
      <c r="A293" s="7" t="s">
        <v>2583</v>
      </c>
      <c r="B293" s="7" t="s">
        <v>2584</v>
      </c>
      <c r="C293" s="7" t="s">
        <v>1158</v>
      </c>
    </row>
    <row r="294" spans="1:3">
      <c r="A294" s="7" t="s">
        <v>2585</v>
      </c>
      <c r="B294" s="7" t="s">
        <v>2586</v>
      </c>
      <c r="C294" s="7" t="s">
        <v>1159</v>
      </c>
    </row>
    <row r="295" spans="1:3">
      <c r="A295" s="7" t="s">
        <v>2587</v>
      </c>
      <c r="B295" s="7" t="s">
        <v>2588</v>
      </c>
      <c r="C295" s="7" t="s">
        <v>1160</v>
      </c>
    </row>
    <row r="296" spans="1:3">
      <c r="A296" s="7" t="s">
        <v>2589</v>
      </c>
      <c r="B296" s="7" t="s">
        <v>2590</v>
      </c>
      <c r="C296" s="7" t="s">
        <v>1161</v>
      </c>
    </row>
    <row r="297" spans="1:3">
      <c r="A297" s="7" t="s">
        <v>2591</v>
      </c>
      <c r="B297" s="7" t="s">
        <v>2592</v>
      </c>
      <c r="C297" s="7" t="s">
        <v>1162</v>
      </c>
    </row>
    <row r="298" spans="1:3">
      <c r="A298" s="7" t="s">
        <v>2593</v>
      </c>
      <c r="B298" s="7" t="s">
        <v>2594</v>
      </c>
      <c r="C298" s="7" t="s">
        <v>1163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9"/>
  <sheetViews>
    <sheetView workbookViewId="0">
      <selection activeCell="C38" sqref="C38"/>
    </sheetView>
  </sheetViews>
  <sheetFormatPr defaultRowHeight="15"/>
  <cols>
    <col min="1" max="1" width="14.42578125" customWidth="1"/>
    <col min="4" max="4" width="16.140625" bestFit="1" customWidth="1"/>
    <col min="5" max="5" width="42.85546875" customWidth="1"/>
  </cols>
  <sheetData>
    <row r="1" spans="1:5">
      <c r="A1" s="1" t="s">
        <v>3116</v>
      </c>
    </row>
    <row r="2" spans="1:5">
      <c r="A2" t="s">
        <v>1167</v>
      </c>
      <c r="D2" s="3" t="s">
        <v>2595</v>
      </c>
      <c r="E2" s="3"/>
    </row>
    <row r="3" spans="1:5">
      <c r="A3" t="s">
        <v>2078</v>
      </c>
      <c r="D3" s="3" t="s">
        <v>3071</v>
      </c>
      <c r="E3" s="3" t="s">
        <v>3123</v>
      </c>
    </row>
    <row r="4" spans="1:5">
      <c r="A4" t="s">
        <v>3117</v>
      </c>
      <c r="D4" s="3" t="s">
        <v>3072</v>
      </c>
      <c r="E4" s="4"/>
    </row>
    <row r="5" spans="1:5">
      <c r="A5" t="s">
        <v>3118</v>
      </c>
      <c r="D5" s="6" t="s">
        <v>3075</v>
      </c>
      <c r="E5" s="3" t="s">
        <v>3124</v>
      </c>
    </row>
    <row r="6" spans="1:5">
      <c r="A6" t="s">
        <v>3119</v>
      </c>
    </row>
    <row r="7" spans="1:5">
      <c r="A7" t="s">
        <v>3120</v>
      </c>
    </row>
    <row r="8" spans="1:5">
      <c r="A8" t="s">
        <v>3121</v>
      </c>
    </row>
    <row r="9" spans="1:5">
      <c r="A9" t="s">
        <v>3122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1"/>
  <sheetViews>
    <sheetView workbookViewId="0">
      <selection activeCell="C38" sqref="C38"/>
    </sheetView>
  </sheetViews>
  <sheetFormatPr defaultRowHeight="15"/>
  <cols>
    <col min="2" max="2" width="24.5703125" bestFit="1" customWidth="1"/>
    <col min="3" max="3" width="7.7109375" customWidth="1"/>
    <col min="6" max="6" width="15.7109375" bestFit="1" customWidth="1"/>
    <col min="8" max="8" width="20.28515625" customWidth="1"/>
    <col min="9" max="9" width="32.28515625" customWidth="1"/>
    <col min="13" max="13" width="16.7109375" customWidth="1"/>
  </cols>
  <sheetData>
    <row r="1" spans="1:16">
      <c r="A1" t="s">
        <v>3198</v>
      </c>
      <c r="B1" t="s">
        <v>3135</v>
      </c>
      <c r="C1" t="s">
        <v>3168</v>
      </c>
      <c r="D1" t="s">
        <v>3142</v>
      </c>
      <c r="E1" t="s">
        <v>3141</v>
      </c>
      <c r="F1" t="s">
        <v>3210</v>
      </c>
      <c r="H1" s="3" t="s">
        <v>2595</v>
      </c>
      <c r="I1" s="3"/>
      <c r="L1" s="8" t="s">
        <v>3198</v>
      </c>
      <c r="M1" s="8" t="s">
        <v>3135</v>
      </c>
      <c r="N1" s="8" t="s">
        <v>3168</v>
      </c>
      <c r="O1" s="8" t="s">
        <v>3142</v>
      </c>
      <c r="P1" s="8" t="s">
        <v>3141</v>
      </c>
    </row>
    <row r="2" spans="1:16">
      <c r="A2" t="s">
        <v>3146</v>
      </c>
      <c r="B2" s="13" t="s">
        <v>3127</v>
      </c>
      <c r="C2" t="s">
        <v>3136</v>
      </c>
      <c r="D2">
        <v>11</v>
      </c>
      <c r="E2">
        <v>1000</v>
      </c>
      <c r="F2" t="str">
        <f>Province[[#This Row],[Country]]&amp;"|"&amp;Province[[#This Row],[CIE]]&amp;" - " &amp;Province[[#This Row],[Abbr]] &amp;"|"&amp;Province[[#This Row],[ST]]</f>
        <v>CA|1000 - AB|11</v>
      </c>
      <c r="H2" s="3" t="s">
        <v>3071</v>
      </c>
      <c r="I2" s="3" t="s">
        <v>3143</v>
      </c>
      <c r="L2" s="5" t="s">
        <v>3147</v>
      </c>
      <c r="M2" s="33" t="s">
        <v>3156</v>
      </c>
      <c r="N2" s="5" t="s">
        <v>3153</v>
      </c>
      <c r="O2" s="5">
        <v>56</v>
      </c>
      <c r="P2" s="5">
        <v>2070</v>
      </c>
    </row>
    <row r="3" spans="1:16">
      <c r="A3" t="s">
        <v>3146</v>
      </c>
      <c r="B3" s="13" t="s">
        <v>3128</v>
      </c>
      <c r="C3" t="s">
        <v>3137</v>
      </c>
      <c r="D3">
        <v>10</v>
      </c>
      <c r="E3">
        <v>1000</v>
      </c>
      <c r="F3" t="str">
        <f>Province[[#This Row],[Country]]&amp;"|"&amp;Province[[#This Row],[CIE]]&amp;" - " &amp;Province[[#This Row],[Abbr]] &amp;"|"&amp;Province[[#This Row],[ST]]</f>
        <v>CA|1000 - BC|10</v>
      </c>
      <c r="H3" s="3" t="s">
        <v>3072</v>
      </c>
      <c r="I3" s="4"/>
      <c r="L3" s="5" t="s">
        <v>3147</v>
      </c>
      <c r="M3" s="33" t="s">
        <v>3158</v>
      </c>
      <c r="N3" s="5" t="s">
        <v>3149</v>
      </c>
      <c r="O3" s="5">
        <v>51</v>
      </c>
      <c r="P3" s="5">
        <v>2070</v>
      </c>
    </row>
    <row r="4" spans="1:16">
      <c r="A4" t="s">
        <v>3146</v>
      </c>
      <c r="B4" s="13" t="s">
        <v>3129</v>
      </c>
      <c r="C4" t="s">
        <v>2305</v>
      </c>
      <c r="D4">
        <v>13</v>
      </c>
      <c r="E4">
        <v>1000</v>
      </c>
      <c r="F4" t="str">
        <f>Province[[#This Row],[Country]]&amp;"|"&amp;Province[[#This Row],[CIE]]&amp;" - " &amp;Province[[#This Row],[Abbr]] &amp;"|"&amp;Province[[#This Row],[ST]]</f>
        <v>CA|1000 - MB|13</v>
      </c>
      <c r="H4" s="6" t="s">
        <v>3075</v>
      </c>
      <c r="I4" s="3" t="s">
        <v>3144</v>
      </c>
      <c r="L4" s="5" t="s">
        <v>3147</v>
      </c>
      <c r="M4" s="33" t="s">
        <v>3158</v>
      </c>
      <c r="N4" s="5" t="s">
        <v>3149</v>
      </c>
      <c r="O4" s="5">
        <v>68</v>
      </c>
      <c r="P4" s="5">
        <v>2355</v>
      </c>
    </row>
    <row r="5" spans="1:16">
      <c r="A5" t="s">
        <v>3146</v>
      </c>
      <c r="B5" s="13" t="s">
        <v>3130</v>
      </c>
      <c r="C5" t="s">
        <v>3138</v>
      </c>
      <c r="D5">
        <v>16</v>
      </c>
      <c r="E5">
        <v>1000</v>
      </c>
      <c r="F5" t="str">
        <f>Province[[#This Row],[Country]]&amp;"|"&amp;Province[[#This Row],[CIE]]&amp;" - " &amp;Province[[#This Row],[Abbr]] &amp;"|"&amp;Province[[#This Row],[ST]]</f>
        <v>CA|1000 - NB|16</v>
      </c>
      <c r="L5" s="5" t="s">
        <v>3147</v>
      </c>
      <c r="M5" s="33" t="s">
        <v>3157</v>
      </c>
      <c r="N5" s="5" t="s">
        <v>3148</v>
      </c>
      <c r="O5" s="5">
        <v>50</v>
      </c>
      <c r="P5" s="5">
        <v>2070</v>
      </c>
    </row>
    <row r="6" spans="1:16">
      <c r="A6" t="s">
        <v>3146</v>
      </c>
      <c r="B6" s="13" t="s">
        <v>3131</v>
      </c>
      <c r="C6" t="s">
        <v>2429</v>
      </c>
      <c r="D6">
        <v>17</v>
      </c>
      <c r="E6">
        <v>1000</v>
      </c>
      <c r="F6" t="str">
        <f>Province[[#This Row],[Country]]&amp;"|"&amp;Province[[#This Row],[CIE]]&amp;" - " &amp;Province[[#This Row],[Abbr]] &amp;"|"&amp;Province[[#This Row],[ST]]</f>
        <v>CA|1000 - NS|17</v>
      </c>
      <c r="H6" t="s">
        <v>3145</v>
      </c>
      <c r="L6" s="5" t="s">
        <v>3147</v>
      </c>
      <c r="M6" s="33" t="s">
        <v>3165</v>
      </c>
      <c r="N6" s="5" t="s">
        <v>3154</v>
      </c>
      <c r="O6" s="5">
        <v>61</v>
      </c>
      <c r="P6" s="5">
        <v>2160</v>
      </c>
    </row>
    <row r="7" spans="1:16" s="62" customFormat="1">
      <c r="A7" s="59" t="s">
        <v>3146</v>
      </c>
      <c r="B7" s="60" t="s">
        <v>3132</v>
      </c>
      <c r="C7" s="61" t="s">
        <v>3139</v>
      </c>
      <c r="D7" s="61">
        <v>14</v>
      </c>
      <c r="E7" s="61">
        <v>1000</v>
      </c>
      <c r="F7" s="61" t="str">
        <f>Province[[#This Row],[Country]]&amp;"|"&amp;Province[[#This Row],[CIE]]&amp;" - " &amp;Province[[#This Row],[Abbr]] &amp;"|"&amp;Province[[#This Row],[ST]]</f>
        <v>CA|1000 - ON|14</v>
      </c>
      <c r="G7" s="59"/>
      <c r="H7" s="62" t="s">
        <v>3146</v>
      </c>
      <c r="L7" s="63" t="s">
        <v>3147</v>
      </c>
      <c r="M7" s="64" t="s">
        <v>3159</v>
      </c>
      <c r="N7" s="63" t="s">
        <v>3150</v>
      </c>
      <c r="O7" s="63">
        <v>52</v>
      </c>
      <c r="P7" s="63">
        <v>2070</v>
      </c>
    </row>
    <row r="8" spans="1:16" s="62" customFormat="1">
      <c r="A8" s="59" t="s">
        <v>3146</v>
      </c>
      <c r="B8" s="60" t="s">
        <v>3132</v>
      </c>
      <c r="C8" s="61" t="s">
        <v>3139</v>
      </c>
      <c r="D8" s="61">
        <v>20</v>
      </c>
      <c r="E8" s="61">
        <v>1210</v>
      </c>
      <c r="F8" s="61" t="str">
        <f>Province[[#This Row],[Country]]&amp;"|"&amp;Province[[#This Row],[CIE]]&amp;" - " &amp;Province[[#This Row],[Abbr]] &amp;"|"&amp;Province[[#This Row],[ST]]</f>
        <v>CA|1210 - ON|20</v>
      </c>
      <c r="G8" s="59"/>
      <c r="H8" s="62" t="s">
        <v>3147</v>
      </c>
      <c r="L8" s="63" t="s">
        <v>3147</v>
      </c>
      <c r="M8" s="64" t="s">
        <v>3162</v>
      </c>
      <c r="N8" s="63" t="s">
        <v>3152</v>
      </c>
      <c r="O8" s="63">
        <v>55</v>
      </c>
      <c r="P8" s="63">
        <v>2070</v>
      </c>
    </row>
    <row r="9" spans="1:16">
      <c r="A9" t="s">
        <v>3146</v>
      </c>
      <c r="B9" s="13" t="s">
        <v>3133</v>
      </c>
      <c r="C9" t="s">
        <v>3140</v>
      </c>
      <c r="D9">
        <v>15</v>
      </c>
      <c r="E9">
        <v>1000</v>
      </c>
      <c r="F9" t="str">
        <f>Province[[#This Row],[Country]]&amp;"|"&amp;Province[[#This Row],[CIE]]&amp;" - " &amp;Province[[#This Row],[Abbr]] &amp;"|"&amp;Province[[#This Row],[ST]]</f>
        <v>CA|1000 - QC|15</v>
      </c>
      <c r="L9" s="5" t="s">
        <v>3147</v>
      </c>
      <c r="M9" s="33" t="s">
        <v>3163</v>
      </c>
      <c r="N9" s="5" t="s">
        <v>2337</v>
      </c>
      <c r="O9" s="5">
        <v>30</v>
      </c>
      <c r="P9" s="5">
        <v>2010</v>
      </c>
    </row>
    <row r="10" spans="1:16">
      <c r="A10" t="s">
        <v>3146</v>
      </c>
      <c r="B10" s="13" t="s">
        <v>3134</v>
      </c>
      <c r="C10" t="s">
        <v>2513</v>
      </c>
      <c r="D10">
        <v>12</v>
      </c>
      <c r="E10">
        <v>1000</v>
      </c>
      <c r="F10" t="str">
        <f>Province[[#This Row],[Country]]&amp;"|"&amp;Province[[#This Row],[CIE]]&amp;" - " &amp;Province[[#This Row],[Abbr]] &amp;"|"&amp;Province[[#This Row],[ST]]</f>
        <v>CA|1000 - SK|12</v>
      </c>
      <c r="H10" t="s">
        <v>3211</v>
      </c>
      <c r="I10" t="s">
        <v>3212</v>
      </c>
      <c r="L10" s="5" t="s">
        <v>3147</v>
      </c>
      <c r="M10" s="33" t="s">
        <v>3163</v>
      </c>
      <c r="N10" s="5" t="s">
        <v>2337</v>
      </c>
      <c r="O10" s="5">
        <v>65</v>
      </c>
      <c r="P10" s="5">
        <v>2365</v>
      </c>
    </row>
    <row r="11" spans="1:16">
      <c r="A11" s="5" t="s">
        <v>3147</v>
      </c>
      <c r="B11" s="33"/>
      <c r="C11" s="5" t="s">
        <v>3153</v>
      </c>
      <c r="D11" s="5">
        <v>56</v>
      </c>
      <c r="E11" s="5">
        <v>2070</v>
      </c>
      <c r="F11" s="52" t="str">
        <f>Province[[#This Row],[Country]]&amp;"|"&amp;Province[[#This Row],[CIE]]&amp;" - " &amp;Province[[#This Row],[Abbr]] &amp;"|"&amp;Province[[#This Row],[ST]]</f>
        <v>US|2070 - AL|56</v>
      </c>
      <c r="H11">
        <v>1000</v>
      </c>
      <c r="I11" t="s">
        <v>3226</v>
      </c>
      <c r="L11" s="5" t="s">
        <v>3147</v>
      </c>
      <c r="M11" s="33" t="s">
        <v>3163</v>
      </c>
      <c r="N11" s="5" t="s">
        <v>2337</v>
      </c>
      <c r="O11" s="5">
        <v>67</v>
      </c>
      <c r="P11" s="5">
        <v>2355</v>
      </c>
    </row>
    <row r="12" spans="1:16">
      <c r="A12" s="5" t="s">
        <v>3147</v>
      </c>
      <c r="B12" s="33"/>
      <c r="C12" s="5" t="s">
        <v>3149</v>
      </c>
      <c r="D12" s="5">
        <v>51</v>
      </c>
      <c r="E12" s="5">
        <v>2070</v>
      </c>
      <c r="F12" s="52" t="str">
        <f>Province[[#This Row],[Country]]&amp;"|"&amp;Province[[#This Row],[CIE]]&amp;" - " &amp;Province[[#This Row],[Abbr]] &amp;"|"&amp;Province[[#This Row],[ST]]</f>
        <v>US|2070 - IL|51</v>
      </c>
      <c r="H12">
        <v>1210</v>
      </c>
      <c r="I12" t="s">
        <v>3227</v>
      </c>
      <c r="L12" s="5" t="s">
        <v>3147</v>
      </c>
      <c r="M12" s="33" t="s">
        <v>3167</v>
      </c>
      <c r="N12" s="5" t="s">
        <v>2373</v>
      </c>
      <c r="O12" s="5">
        <v>32</v>
      </c>
      <c r="P12" s="5">
        <v>2355</v>
      </c>
    </row>
    <row r="13" spans="1:16">
      <c r="A13" s="5" t="s">
        <v>3147</v>
      </c>
      <c r="B13" s="33"/>
      <c r="C13" s="5" t="s">
        <v>3149</v>
      </c>
      <c r="D13" s="5">
        <v>68</v>
      </c>
      <c r="E13" s="5">
        <v>2355</v>
      </c>
      <c r="F13" s="52" t="str">
        <f>Province[[#This Row],[Country]]&amp;"|"&amp;Province[[#This Row],[CIE]]&amp;" - " &amp;Province[[#This Row],[Abbr]] &amp;"|"&amp;Province[[#This Row],[ST]]</f>
        <v>US|2355 - IL|68</v>
      </c>
      <c r="H13">
        <v>2070</v>
      </c>
      <c r="I13" t="s">
        <v>3228</v>
      </c>
      <c r="L13" s="5" t="s">
        <v>3147</v>
      </c>
      <c r="M13" s="33" t="s">
        <v>3161</v>
      </c>
      <c r="N13" s="5" t="s">
        <v>2399</v>
      </c>
      <c r="O13" s="5">
        <v>54</v>
      </c>
      <c r="P13" s="5">
        <v>2070</v>
      </c>
    </row>
    <row r="14" spans="1:16">
      <c r="A14" s="5" t="s">
        <v>3147</v>
      </c>
      <c r="B14" s="33"/>
      <c r="C14" s="5" t="s">
        <v>3148</v>
      </c>
      <c r="D14" s="5">
        <v>50</v>
      </c>
      <c r="E14" s="5">
        <v>2070</v>
      </c>
      <c r="F14" s="52" t="str">
        <f>Province[[#This Row],[Country]]&amp;"|"&amp;Province[[#This Row],[CIE]]&amp;" - " &amp;Province[[#This Row],[Abbr]] &amp;"|"&amp;Province[[#This Row],[ST]]</f>
        <v>US|2070 - IN|50</v>
      </c>
      <c r="H14">
        <v>2010</v>
      </c>
      <c r="I14" t="s">
        <v>3229</v>
      </c>
      <c r="L14" s="5" t="s">
        <v>3147</v>
      </c>
      <c r="M14" s="33" t="s">
        <v>3164</v>
      </c>
      <c r="N14" s="5" t="s">
        <v>2443</v>
      </c>
      <c r="O14" s="5">
        <v>35</v>
      </c>
      <c r="P14" s="5">
        <v>2400</v>
      </c>
    </row>
    <row r="15" spans="1:16">
      <c r="A15" s="5" t="s">
        <v>3147</v>
      </c>
      <c r="B15" s="33"/>
      <c r="C15" s="5" t="s">
        <v>3154</v>
      </c>
      <c r="D15" s="5">
        <v>61</v>
      </c>
      <c r="E15" s="5">
        <v>2160</v>
      </c>
      <c r="F15" s="52" t="str">
        <f>Province[[#This Row],[Country]]&amp;"|"&amp;Province[[#This Row],[CIE]]&amp;" - " &amp;Province[[#This Row],[Abbr]] &amp;"|"&amp;Province[[#This Row],[ST]]</f>
        <v>US|2160 - IA|61</v>
      </c>
      <c r="H15">
        <v>2400</v>
      </c>
      <c r="I15" t="s">
        <v>3230</v>
      </c>
      <c r="L15" s="5" t="s">
        <v>3147</v>
      </c>
      <c r="M15" s="33" t="s">
        <v>3160</v>
      </c>
      <c r="N15" s="5" t="s">
        <v>3151</v>
      </c>
      <c r="O15" s="5">
        <v>53</v>
      </c>
      <c r="P15" s="5">
        <v>2070</v>
      </c>
    </row>
    <row r="16" spans="1:16">
      <c r="A16" s="63" t="s">
        <v>3147</v>
      </c>
      <c r="B16" s="64"/>
      <c r="C16" s="63" t="s">
        <v>3150</v>
      </c>
      <c r="D16" s="63">
        <v>52</v>
      </c>
      <c r="E16" s="63">
        <v>2070</v>
      </c>
      <c r="F16" s="71" t="str">
        <f>Province[[#This Row],[Country]]&amp;"|"&amp;Province[[#This Row],[CIE]]&amp;" - " &amp;Province[[#This Row],[Abbr]] &amp;"|"&amp;Province[[#This Row],[ST]]</f>
        <v>US|2070 - KY|52</v>
      </c>
      <c r="H16">
        <v>2160</v>
      </c>
      <c r="I16" t="s">
        <v>3231</v>
      </c>
      <c r="L16" s="5" t="s">
        <v>3147</v>
      </c>
      <c r="M16" s="33" t="s">
        <v>3166</v>
      </c>
      <c r="N16" s="5" t="s">
        <v>3155</v>
      </c>
      <c r="O16" s="5">
        <v>66</v>
      </c>
      <c r="P16" s="5">
        <v>2355</v>
      </c>
    </row>
    <row r="17" spans="1:23">
      <c r="A17" s="63" t="s">
        <v>3147</v>
      </c>
      <c r="B17" s="64"/>
      <c r="C17" s="63" t="s">
        <v>3152</v>
      </c>
      <c r="D17" s="63">
        <v>55</v>
      </c>
      <c r="E17" s="63">
        <v>2070</v>
      </c>
      <c r="F17" s="71" t="str">
        <f>Province[[#This Row],[Country]]&amp;"|"&amp;Province[[#This Row],[CIE]]&amp;" - " &amp;Province[[#This Row],[Abbr]] &amp;"|"&amp;Province[[#This Row],[ST]]</f>
        <v>US|2070 - LA|55</v>
      </c>
      <c r="H17">
        <v>2355</v>
      </c>
      <c r="I17" t="s">
        <v>3232</v>
      </c>
    </row>
    <row r="18" spans="1:23">
      <c r="A18" s="5" t="s">
        <v>3147</v>
      </c>
      <c r="B18" s="33"/>
      <c r="C18" s="5" t="s">
        <v>2337</v>
      </c>
      <c r="D18" s="5">
        <v>30</v>
      </c>
      <c r="E18" s="5">
        <v>2010</v>
      </c>
      <c r="F18" s="52" t="str">
        <f>Province[[#This Row],[Country]]&amp;"|"&amp;Province[[#This Row],[CIE]]&amp;" - " &amp;Province[[#This Row],[Abbr]] &amp;"|"&amp;Province[[#This Row],[ST]]</f>
        <v>US|2010 - MI|30</v>
      </c>
      <c r="H18">
        <v>2365</v>
      </c>
      <c r="I18" t="s">
        <v>3233</v>
      </c>
    </row>
    <row r="19" spans="1:23">
      <c r="A19" s="5" t="s">
        <v>3147</v>
      </c>
      <c r="B19" s="33"/>
      <c r="C19" s="5" t="s">
        <v>2337</v>
      </c>
      <c r="D19" s="5">
        <v>65</v>
      </c>
      <c r="E19" s="5">
        <v>2365</v>
      </c>
      <c r="F19" s="52" t="str">
        <f>Province[[#This Row],[Country]]&amp;"|"&amp;Province[[#This Row],[CIE]]&amp;" - " &amp;Province[[#This Row],[Abbr]] &amp;"|"&amp;Province[[#This Row],[ST]]</f>
        <v>US|2365 - MI|65</v>
      </c>
    </row>
    <row r="20" spans="1:23">
      <c r="A20" s="5" t="s">
        <v>3147</v>
      </c>
      <c r="B20" s="33"/>
      <c r="C20" s="5" t="s">
        <v>2337</v>
      </c>
      <c r="D20" s="5">
        <v>67</v>
      </c>
      <c r="E20" s="5">
        <v>2355</v>
      </c>
      <c r="F20" s="52" t="str">
        <f>Province[[#This Row],[Country]]&amp;"|"&amp;Province[[#This Row],[CIE]]&amp;" - " &amp;Province[[#This Row],[Abbr]] &amp;"|"&amp;Province[[#This Row],[ST]]</f>
        <v>US|2355 - MI|67</v>
      </c>
    </row>
    <row r="21" spans="1:23">
      <c r="A21" s="5" t="s">
        <v>3147</v>
      </c>
      <c r="B21" s="33"/>
      <c r="C21" s="5" t="s">
        <v>2373</v>
      </c>
      <c r="D21" s="5">
        <v>32</v>
      </c>
      <c r="E21" s="5">
        <v>2355</v>
      </c>
      <c r="F21" s="52" t="str">
        <f>Province[[#This Row],[Country]]&amp;"|"&amp;Province[[#This Row],[CIE]]&amp;" - " &amp;Province[[#This Row],[Abbr]] &amp;"|"&amp;Province[[#This Row],[ST]]</f>
        <v>US|2355 - MN|32</v>
      </c>
    </row>
    <row r="22" spans="1:23">
      <c r="A22" s="5" t="s">
        <v>3147</v>
      </c>
      <c r="B22" s="33"/>
      <c r="C22" s="5" t="s">
        <v>2399</v>
      </c>
      <c r="D22" s="5">
        <v>54</v>
      </c>
      <c r="E22" s="5">
        <v>2070</v>
      </c>
      <c r="F22" s="52" t="str">
        <f>Province[[#This Row],[Country]]&amp;"|"&amp;Province[[#This Row],[CIE]]&amp;" - " &amp;Province[[#This Row],[Abbr]] &amp;"|"&amp;Province[[#This Row],[ST]]</f>
        <v>US|2070 - MS|54</v>
      </c>
      <c r="H22" s="264" t="s">
        <v>3199</v>
      </c>
      <c r="I22" s="264"/>
      <c r="J22" s="264"/>
      <c r="K22" s="264"/>
      <c r="L22" s="65" t="s">
        <v>3147</v>
      </c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</row>
    <row r="23" spans="1:23">
      <c r="A23" s="5" t="s">
        <v>3147</v>
      </c>
      <c r="B23" s="33"/>
      <c r="C23" s="5" t="s">
        <v>2443</v>
      </c>
      <c r="D23" s="5">
        <v>35</v>
      </c>
      <c r="E23" s="5">
        <v>2400</v>
      </c>
      <c r="F23" s="52" t="str">
        <f>Province[[#This Row],[Country]]&amp;"|"&amp;Province[[#This Row],[CIE]]&amp;" - " &amp;Province[[#This Row],[Abbr]] &amp;"|"&amp;Province[[#This Row],[ST]]</f>
        <v>US|2400 - PA|35</v>
      </c>
      <c r="H23" s="265" t="s">
        <v>3200</v>
      </c>
      <c r="I23" s="265"/>
      <c r="J23" s="266" t="s">
        <v>3201</v>
      </c>
      <c r="K23" s="266"/>
      <c r="L23" s="66" t="s">
        <v>3202</v>
      </c>
      <c r="M23" s="66"/>
      <c r="N23" s="67" t="s">
        <v>3203</v>
      </c>
      <c r="O23" s="67"/>
      <c r="P23" s="68" t="s">
        <v>3204</v>
      </c>
      <c r="Q23" s="68"/>
      <c r="R23" s="69" t="s">
        <v>3205</v>
      </c>
      <c r="S23" s="69"/>
      <c r="T23" s="70" t="s">
        <v>3206</v>
      </c>
      <c r="U23" s="70"/>
      <c r="V23" s="67" t="s">
        <v>3207</v>
      </c>
      <c r="W23" s="67"/>
    </row>
    <row r="24" spans="1:23">
      <c r="A24" s="5" t="s">
        <v>3147</v>
      </c>
      <c r="B24" s="33"/>
      <c r="C24" s="5" t="s">
        <v>3151</v>
      </c>
      <c r="D24" s="5">
        <v>53</v>
      </c>
      <c r="E24" s="5">
        <v>2070</v>
      </c>
      <c r="F24" s="52" t="str">
        <f>Province[[#This Row],[Country]]&amp;"|"&amp;Province[[#This Row],[CIE]]&amp;" - " &amp;Province[[#This Row],[Abbr]] &amp;"|"&amp;Province[[#This Row],[ST]]</f>
        <v>US|2070 - TN|53</v>
      </c>
      <c r="H24" s="38">
        <v>10</v>
      </c>
      <c r="I24" s="39" t="s">
        <v>3137</v>
      </c>
      <c r="J24" s="40"/>
      <c r="K24" s="41"/>
      <c r="L24" s="42">
        <v>50</v>
      </c>
      <c r="M24" s="43" t="s">
        <v>3148</v>
      </c>
      <c r="N24" s="44">
        <v>30</v>
      </c>
      <c r="O24" s="45" t="s">
        <v>2337</v>
      </c>
      <c r="P24" s="46">
        <v>35</v>
      </c>
      <c r="Q24" s="47" t="s">
        <v>2443</v>
      </c>
      <c r="R24" s="48">
        <v>61</v>
      </c>
      <c r="S24" s="49" t="s">
        <v>3154</v>
      </c>
      <c r="T24" s="50">
        <v>65</v>
      </c>
      <c r="U24" s="51" t="s">
        <v>2337</v>
      </c>
      <c r="V24" s="44">
        <v>66</v>
      </c>
      <c r="W24" s="45" t="s">
        <v>3155</v>
      </c>
    </row>
    <row r="25" spans="1:23">
      <c r="A25" s="5" t="s">
        <v>3147</v>
      </c>
      <c r="B25" s="33"/>
      <c r="C25" s="5" t="s">
        <v>3155</v>
      </c>
      <c r="D25" s="5">
        <v>66</v>
      </c>
      <c r="E25" s="5">
        <v>2355</v>
      </c>
      <c r="F25" s="52" t="str">
        <f>Province[[#This Row],[Country]]&amp;"|"&amp;Province[[#This Row],[CIE]]&amp;" - " &amp;Province[[#This Row],[Abbr]] &amp;"|"&amp;Province[[#This Row],[ST]]</f>
        <v>US|2355 - WI|66</v>
      </c>
      <c r="H25" s="38">
        <v>11</v>
      </c>
      <c r="I25" s="39" t="s">
        <v>3136</v>
      </c>
      <c r="J25" s="40"/>
      <c r="K25" s="41"/>
      <c r="L25" s="42">
        <v>51</v>
      </c>
      <c r="M25" s="43" t="s">
        <v>3149</v>
      </c>
      <c r="N25" s="44"/>
      <c r="O25" s="45"/>
      <c r="P25" s="46"/>
      <c r="Q25" s="47"/>
      <c r="R25" s="48"/>
      <c r="S25" s="49"/>
      <c r="T25" s="50"/>
      <c r="U25" s="51"/>
      <c r="V25" s="44">
        <v>67</v>
      </c>
      <c r="W25" s="45" t="s">
        <v>2337</v>
      </c>
    </row>
    <row r="26" spans="1:23">
      <c r="H26" s="38">
        <v>12</v>
      </c>
      <c r="I26" s="39" t="s">
        <v>2513</v>
      </c>
      <c r="J26" s="40"/>
      <c r="K26" s="41"/>
      <c r="L26" s="42">
        <v>52</v>
      </c>
      <c r="M26" s="43" t="s">
        <v>3150</v>
      </c>
      <c r="N26" s="44"/>
      <c r="O26" s="45"/>
      <c r="P26" s="46"/>
      <c r="Q26" s="47"/>
      <c r="R26" s="48"/>
      <c r="S26" s="49"/>
      <c r="T26" s="50"/>
      <c r="U26" s="51"/>
      <c r="V26" s="44">
        <v>68</v>
      </c>
      <c r="W26" s="45" t="s">
        <v>3149</v>
      </c>
    </row>
    <row r="27" spans="1:23">
      <c r="H27" s="38">
        <v>13</v>
      </c>
      <c r="I27" s="39" t="s">
        <v>2305</v>
      </c>
      <c r="J27" s="40"/>
      <c r="K27" s="41"/>
      <c r="L27" s="42">
        <v>53</v>
      </c>
      <c r="M27" s="43" t="s">
        <v>3151</v>
      </c>
      <c r="N27" s="44"/>
      <c r="O27" s="45"/>
      <c r="P27" s="46"/>
      <c r="Q27" s="47"/>
      <c r="R27" s="48"/>
      <c r="S27" s="49"/>
      <c r="T27" s="50"/>
      <c r="U27" s="51"/>
      <c r="V27" s="44">
        <v>32</v>
      </c>
      <c r="W27" s="45" t="s">
        <v>2373</v>
      </c>
    </row>
    <row r="28" spans="1:23">
      <c r="H28" s="38">
        <v>14</v>
      </c>
      <c r="I28" s="39" t="s">
        <v>3139</v>
      </c>
      <c r="J28" s="40">
        <v>20</v>
      </c>
      <c r="K28" s="41" t="s">
        <v>3139</v>
      </c>
      <c r="L28" s="42">
        <v>54</v>
      </c>
      <c r="M28" s="43" t="s">
        <v>2399</v>
      </c>
      <c r="N28" s="44"/>
      <c r="O28" s="45"/>
      <c r="P28" s="46"/>
      <c r="Q28" s="47"/>
      <c r="R28" s="48"/>
      <c r="S28" s="49"/>
      <c r="T28" s="50"/>
      <c r="U28" s="51"/>
      <c r="V28" s="44"/>
      <c r="W28" s="45"/>
    </row>
    <row r="29" spans="1:23">
      <c r="H29" s="38">
        <v>15</v>
      </c>
      <c r="I29" s="39" t="s">
        <v>3140</v>
      </c>
      <c r="J29" s="40"/>
      <c r="K29" s="41"/>
      <c r="L29" s="42">
        <v>55</v>
      </c>
      <c r="M29" s="43" t="s">
        <v>3152</v>
      </c>
      <c r="N29" s="44"/>
      <c r="O29" s="45"/>
      <c r="P29" s="46"/>
      <c r="Q29" s="47"/>
      <c r="R29" s="48"/>
      <c r="S29" s="49"/>
      <c r="T29" s="50"/>
      <c r="U29" s="51"/>
      <c r="V29" s="44"/>
      <c r="W29" s="45"/>
    </row>
    <row r="30" spans="1:23">
      <c r="H30" s="38">
        <v>16</v>
      </c>
      <c r="I30" s="39" t="s">
        <v>3138</v>
      </c>
      <c r="J30" s="40"/>
      <c r="K30" s="41"/>
      <c r="L30" s="42">
        <v>56</v>
      </c>
      <c r="M30" s="43" t="s">
        <v>3153</v>
      </c>
      <c r="N30" s="44"/>
      <c r="O30" s="45"/>
      <c r="P30" s="46"/>
      <c r="Q30" s="47"/>
      <c r="R30" s="48"/>
      <c r="S30" s="49"/>
      <c r="T30" s="50"/>
      <c r="U30" s="51"/>
      <c r="V30" s="44"/>
      <c r="W30" s="45"/>
    </row>
    <row r="31" spans="1:23">
      <c r="H31" s="38">
        <v>17</v>
      </c>
      <c r="I31" s="39" t="s">
        <v>2429</v>
      </c>
      <c r="J31" s="40"/>
      <c r="K31" s="41"/>
      <c r="L31" s="42"/>
      <c r="M31" s="43"/>
      <c r="N31" s="44"/>
      <c r="O31" s="45"/>
      <c r="P31" s="46"/>
      <c r="Q31" s="47"/>
      <c r="R31" s="48"/>
      <c r="S31" s="49"/>
      <c r="T31" s="50"/>
      <c r="U31" s="51"/>
      <c r="V31" s="44"/>
      <c r="W31" s="45"/>
    </row>
  </sheetData>
  <mergeCells count="3">
    <mergeCell ref="H22:K22"/>
    <mergeCell ref="H23:I23"/>
    <mergeCell ref="J23:K23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Q1"/>
  <sheetViews>
    <sheetView workbookViewId="0">
      <selection activeCell="C38" sqref="C38"/>
    </sheetView>
  </sheetViews>
  <sheetFormatPr defaultRowHeight="15"/>
  <cols>
    <col min="1" max="1" width="20.28515625" customWidth="1"/>
    <col min="2" max="2" width="11.42578125" bestFit="1" customWidth="1"/>
    <col min="3" max="3" width="10.7109375" customWidth="1"/>
    <col min="4" max="4" width="16.85546875" customWidth="1"/>
    <col min="6" max="6" width="12.5703125" customWidth="1"/>
    <col min="7" max="7" width="14.28515625" customWidth="1"/>
    <col min="8" max="8" width="14.85546875" customWidth="1"/>
    <col min="9" max="9" width="13" customWidth="1"/>
    <col min="10" max="10" width="15.42578125" customWidth="1"/>
    <col min="12" max="12" width="18.28515625" customWidth="1"/>
    <col min="13" max="13" width="14.28515625" customWidth="1"/>
    <col min="14" max="14" width="15.7109375" customWidth="1"/>
    <col min="15" max="15" width="12.7109375" customWidth="1"/>
    <col min="16" max="16" width="18.42578125" customWidth="1"/>
    <col min="17" max="17" width="10.28515625" customWidth="1"/>
  </cols>
  <sheetData>
    <row r="1" spans="1:17">
      <c r="A1" t="s">
        <v>3170</v>
      </c>
      <c r="B1" t="s">
        <v>3171</v>
      </c>
      <c r="C1" t="s">
        <v>3172</v>
      </c>
      <c r="D1" t="s">
        <v>3182</v>
      </c>
      <c r="E1" t="s">
        <v>3169</v>
      </c>
      <c r="F1" t="s">
        <v>3174</v>
      </c>
      <c r="G1" t="s">
        <v>3173</v>
      </c>
      <c r="H1" t="s">
        <v>3176</v>
      </c>
      <c r="I1" t="s">
        <v>3178</v>
      </c>
      <c r="J1" t="s">
        <v>3177</v>
      </c>
      <c r="K1" t="s">
        <v>3175</v>
      </c>
      <c r="L1" t="s">
        <v>3185</v>
      </c>
      <c r="M1" t="s">
        <v>3179</v>
      </c>
      <c r="N1" t="s">
        <v>3180</v>
      </c>
      <c r="O1" t="s">
        <v>3181</v>
      </c>
      <c r="P1" t="s">
        <v>3183</v>
      </c>
      <c r="Q1" t="s">
        <v>3184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C66"/>
  <sheetViews>
    <sheetView workbookViewId="0">
      <selection activeCell="C38" sqref="C38"/>
    </sheetView>
  </sheetViews>
  <sheetFormatPr defaultRowHeight="15"/>
  <cols>
    <col min="2" max="2" width="34" customWidth="1"/>
    <col min="3" max="3" width="19" customWidth="1"/>
    <col min="4" max="4" width="19.7109375" customWidth="1"/>
    <col min="5" max="5" width="35.28515625" customWidth="1"/>
    <col min="7" max="9" width="0" hidden="1" customWidth="1"/>
    <col min="11" max="11" width="3.5703125" customWidth="1"/>
    <col min="12" max="12" width="3.28515625" customWidth="1"/>
    <col min="15" max="15" width="4.42578125" customWidth="1"/>
    <col min="18" max="18" width="5.28515625" customWidth="1"/>
    <col min="20" max="20" width="3.5703125" customWidth="1"/>
    <col min="21" max="21" width="6.5703125" customWidth="1"/>
    <col min="26" max="26" width="4.85546875" customWidth="1"/>
    <col min="29" max="29" width="3.28515625" customWidth="1"/>
  </cols>
  <sheetData>
    <row r="1" spans="1:29" ht="15.75" thickBot="1">
      <c r="B1" t="s">
        <v>3294</v>
      </c>
      <c r="C1" t="s">
        <v>3195</v>
      </c>
      <c r="D1" t="s">
        <v>3214</v>
      </c>
    </row>
    <row r="2" spans="1:29">
      <c r="A2">
        <v>1</v>
      </c>
      <c r="B2" s="27" t="s">
        <v>3187</v>
      </c>
      <c r="C2" s="26" t="s">
        <v>3272</v>
      </c>
      <c r="E2" s="26" t="b">
        <f>AND(EXACT(M4,UPPER(M4))*LEN(M4)&gt;0,LEN(M4)&lt;2000)</f>
        <v>1</v>
      </c>
      <c r="F2" t="s">
        <v>3273</v>
      </c>
      <c r="J2" t="s">
        <v>3277</v>
      </c>
      <c r="K2" s="14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6"/>
    </row>
    <row r="3" spans="1:29">
      <c r="B3" s="28" t="s">
        <v>3188</v>
      </c>
      <c r="C3" t="s">
        <v>3240</v>
      </c>
      <c r="K3" s="17"/>
      <c r="L3" s="18"/>
      <c r="M3" s="269" t="s">
        <v>3186</v>
      </c>
      <c r="N3" s="269"/>
      <c r="O3" s="269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9"/>
    </row>
    <row r="4" spans="1:29">
      <c r="A4">
        <v>2</v>
      </c>
      <c r="B4" s="28" t="s">
        <v>3189</v>
      </c>
      <c r="C4" t="s">
        <v>3221</v>
      </c>
      <c r="K4" s="17"/>
      <c r="L4" s="123">
        <v>1</v>
      </c>
      <c r="M4" s="275" t="s">
        <v>3196</v>
      </c>
      <c r="N4" s="276"/>
      <c r="O4" s="276"/>
      <c r="P4" s="276"/>
      <c r="Q4" s="276"/>
      <c r="R4" s="276"/>
      <c r="S4" s="277"/>
      <c r="T4" s="18"/>
      <c r="U4" s="32"/>
      <c r="V4" s="24" t="s">
        <v>3188</v>
      </c>
      <c r="W4" s="18"/>
      <c r="X4" s="267" t="s">
        <v>3240</v>
      </c>
      <c r="Y4" s="268"/>
      <c r="Z4" s="18"/>
      <c r="AA4" s="18"/>
      <c r="AB4" s="18"/>
      <c r="AC4" s="19"/>
    </row>
    <row r="5" spans="1:29">
      <c r="B5" s="28" t="s">
        <v>3239</v>
      </c>
      <c r="C5" t="s">
        <v>3275</v>
      </c>
      <c r="E5" t="e">
        <f ca="1">exept(U7,TEXT(U7,"YYYY/mm/dd"))</f>
        <v>#NAME?</v>
      </c>
      <c r="F5" s="31"/>
      <c r="G5" s="53"/>
      <c r="H5" s="54"/>
      <c r="I5" s="54"/>
      <c r="K5" s="17"/>
      <c r="L5" s="18"/>
      <c r="M5" s="278"/>
      <c r="N5" s="279"/>
      <c r="O5" s="279"/>
      <c r="P5" s="279"/>
      <c r="Q5" s="279"/>
      <c r="R5" s="279"/>
      <c r="S5" s="280"/>
      <c r="T5" s="18"/>
      <c r="U5" s="32"/>
      <c r="V5" s="32"/>
      <c r="W5" s="32"/>
      <c r="X5" s="32"/>
      <c r="Y5" s="18"/>
      <c r="Z5" s="18"/>
      <c r="AA5" s="18"/>
      <c r="AB5" s="18"/>
      <c r="AC5" s="19"/>
    </row>
    <row r="6" spans="1:29">
      <c r="A6">
        <v>3</v>
      </c>
      <c r="B6" s="30" t="s">
        <v>3261</v>
      </c>
      <c r="C6" t="s">
        <v>3274</v>
      </c>
      <c r="F6" s="31"/>
      <c r="G6" s="53"/>
      <c r="H6" s="54"/>
      <c r="I6" s="54"/>
      <c r="K6" s="17"/>
      <c r="L6" s="18"/>
      <c r="M6" s="278"/>
      <c r="N6" s="279"/>
      <c r="O6" s="279"/>
      <c r="P6" s="279"/>
      <c r="Q6" s="279"/>
      <c r="R6" s="279"/>
      <c r="S6" s="280"/>
      <c r="T6" s="18"/>
      <c r="U6" s="124">
        <v>2</v>
      </c>
      <c r="V6" s="24" t="s">
        <v>3189</v>
      </c>
      <c r="W6" s="18"/>
      <c r="X6" s="267"/>
      <c r="Y6" s="268"/>
      <c r="Z6" s="18"/>
      <c r="AA6" s="18"/>
      <c r="AB6" s="18"/>
      <c r="AC6" s="19"/>
    </row>
    <row r="7" spans="1:29" ht="18.600000000000001" customHeight="1">
      <c r="B7" s="27"/>
      <c r="I7" s="54"/>
      <c r="K7" s="17"/>
      <c r="L7" s="18"/>
      <c r="M7" s="281"/>
      <c r="N7" s="282"/>
      <c r="O7" s="282"/>
      <c r="P7" s="282"/>
      <c r="Q7" s="282"/>
      <c r="R7" s="282"/>
      <c r="S7" s="283"/>
      <c r="T7" s="18"/>
      <c r="U7" s="24"/>
      <c r="V7" s="32"/>
      <c r="W7" s="18"/>
      <c r="X7" s="32"/>
      <c r="Y7" s="18"/>
      <c r="Z7" s="18"/>
      <c r="AA7" s="18"/>
      <c r="AB7" s="18"/>
      <c r="AC7" s="19"/>
    </row>
    <row r="8" spans="1:29">
      <c r="A8">
        <v>4</v>
      </c>
      <c r="B8" s="122" t="s">
        <v>3190</v>
      </c>
      <c r="C8" t="s">
        <v>3224</v>
      </c>
      <c r="D8" t="s">
        <v>3289</v>
      </c>
      <c r="I8" s="54"/>
      <c r="K8" s="17"/>
      <c r="L8" s="18"/>
      <c r="M8" s="18"/>
      <c r="N8" s="18"/>
      <c r="O8" s="18"/>
      <c r="P8" s="18"/>
      <c r="Q8" s="18"/>
      <c r="R8" s="18"/>
      <c r="S8" s="18"/>
      <c r="T8" s="18"/>
      <c r="U8" s="18"/>
      <c r="V8" s="24" t="s">
        <v>3239</v>
      </c>
      <c r="W8" s="18"/>
      <c r="X8" s="267" t="s">
        <v>3240</v>
      </c>
      <c r="Y8" s="268"/>
      <c r="Z8" s="18"/>
      <c r="AA8" s="18"/>
      <c r="AB8" s="18"/>
      <c r="AC8" s="19"/>
    </row>
    <row r="9" spans="1:29" ht="18" customHeight="1">
      <c r="A9">
        <v>5</v>
      </c>
      <c r="B9" s="30" t="s">
        <v>3209</v>
      </c>
      <c r="C9" s="27" t="s">
        <v>3346</v>
      </c>
      <c r="E9" t="s">
        <v>3291</v>
      </c>
      <c r="F9" s="31"/>
      <c r="G9" s="53"/>
      <c r="H9" s="54"/>
      <c r="I9" s="54"/>
      <c r="K9" s="17"/>
      <c r="L9" s="18"/>
      <c r="M9" s="23" t="s">
        <v>3190</v>
      </c>
      <c r="N9" s="23"/>
      <c r="O9" s="23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9"/>
    </row>
    <row r="10" spans="1:29">
      <c r="A10">
        <v>6</v>
      </c>
      <c r="B10" s="74" t="s">
        <v>3217</v>
      </c>
      <c r="C10" s="34" t="s">
        <v>3221</v>
      </c>
      <c r="E10" s="25" t="s">
        <v>3216</v>
      </c>
      <c r="G10" s="53"/>
      <c r="H10" s="54"/>
      <c r="I10" s="54"/>
      <c r="K10" s="17"/>
      <c r="L10" s="123">
        <v>4</v>
      </c>
      <c r="M10" s="267" t="s">
        <v>3117</v>
      </c>
      <c r="N10" s="268"/>
      <c r="O10" s="24"/>
      <c r="P10" s="24"/>
      <c r="Q10" s="24"/>
      <c r="R10" s="18"/>
      <c r="S10" s="18"/>
      <c r="T10" s="18"/>
      <c r="U10" s="123">
        <v>3</v>
      </c>
      <c r="V10" s="25" t="s">
        <v>3250</v>
      </c>
      <c r="W10" s="18"/>
      <c r="X10" s="267"/>
      <c r="Y10" s="268"/>
      <c r="Z10" s="18"/>
      <c r="AA10" s="18"/>
      <c r="AB10" s="18"/>
      <c r="AC10" s="19"/>
    </row>
    <row r="11" spans="1:29">
      <c r="A11">
        <v>7</v>
      </c>
      <c r="B11" s="30" t="s">
        <v>3220</v>
      </c>
      <c r="C11" s="27" t="s">
        <v>3346</v>
      </c>
      <c r="E11" t="s">
        <v>3215</v>
      </c>
      <c r="G11" s="53"/>
      <c r="H11" s="54"/>
      <c r="I11" s="54"/>
      <c r="K11" s="17"/>
      <c r="L11" s="18"/>
      <c r="M11" s="25" t="s">
        <v>3209</v>
      </c>
      <c r="N11" s="18"/>
      <c r="O11" s="18"/>
      <c r="P11" s="18"/>
      <c r="Q11" s="18"/>
      <c r="R11" s="18"/>
      <c r="S11" s="95"/>
      <c r="T11" s="18"/>
      <c r="U11" s="18"/>
      <c r="V11" s="18"/>
      <c r="W11" s="18"/>
      <c r="X11" s="18"/>
      <c r="Y11" s="18"/>
      <c r="Z11" s="18"/>
      <c r="AA11" s="18"/>
      <c r="AB11" s="18"/>
      <c r="AC11" s="19"/>
    </row>
    <row r="12" spans="1:29">
      <c r="A12">
        <v>8</v>
      </c>
      <c r="B12" s="35" t="s">
        <v>3218</v>
      </c>
      <c r="C12" t="s">
        <v>3276</v>
      </c>
      <c r="E12" s="25" t="s">
        <v>3222</v>
      </c>
      <c r="G12" s="53"/>
      <c r="H12" s="54"/>
      <c r="I12" s="56"/>
      <c r="K12" s="17"/>
      <c r="L12" s="123">
        <v>5</v>
      </c>
      <c r="M12" s="267" t="s">
        <v>2078</v>
      </c>
      <c r="N12" s="268"/>
      <c r="O12" s="125">
        <v>6</v>
      </c>
      <c r="P12" s="96" t="s">
        <v>3217</v>
      </c>
      <c r="Q12" s="96"/>
      <c r="R12" s="96"/>
      <c r="S12" s="75"/>
      <c r="T12" s="18"/>
      <c r="U12" s="18"/>
      <c r="V12" s="18"/>
      <c r="W12" s="18"/>
      <c r="X12" s="18"/>
      <c r="Y12" s="18"/>
      <c r="Z12" s="18"/>
      <c r="AA12" s="18"/>
      <c r="AB12" s="18"/>
      <c r="AC12" s="19"/>
    </row>
    <row r="13" spans="1:29">
      <c r="A13">
        <v>9</v>
      </c>
      <c r="B13" s="137" t="s">
        <v>3249</v>
      </c>
      <c r="C13" t="s">
        <v>3221</v>
      </c>
      <c r="G13" s="53"/>
      <c r="H13" s="54"/>
      <c r="I13" s="56"/>
      <c r="K13" s="17"/>
      <c r="L13" s="18"/>
      <c r="M13" s="76"/>
      <c r="N13" s="76"/>
      <c r="O13" s="24"/>
      <c r="P13" s="24"/>
      <c r="Q13" s="24"/>
      <c r="R13" s="24"/>
      <c r="S13" s="18"/>
      <c r="T13" s="18"/>
      <c r="U13" s="18"/>
      <c r="V13" s="18" t="s">
        <v>3345</v>
      </c>
      <c r="W13" s="18"/>
      <c r="X13" s="18"/>
      <c r="Y13" s="18"/>
      <c r="Z13" s="18"/>
      <c r="AA13" s="18"/>
      <c r="AB13" s="18"/>
      <c r="AC13" s="19"/>
    </row>
    <row r="14" spans="1:29">
      <c r="B14" s="29"/>
      <c r="F14" s="31"/>
      <c r="G14" s="55"/>
      <c r="H14" s="56"/>
      <c r="I14" s="54"/>
      <c r="K14" s="17"/>
      <c r="L14" s="18"/>
      <c r="M14" s="25" t="s">
        <v>3220</v>
      </c>
      <c r="N14" s="25"/>
      <c r="O14" s="25"/>
      <c r="P14" s="24"/>
      <c r="Q14" s="24"/>
      <c r="R14" s="24"/>
      <c r="S14" s="18"/>
      <c r="T14" s="18"/>
      <c r="U14" s="18"/>
      <c r="V14" s="18" t="s">
        <v>3344</v>
      </c>
      <c r="W14" s="18"/>
      <c r="X14" s="18"/>
      <c r="Y14" s="18"/>
      <c r="Z14" s="18"/>
      <c r="AA14" s="18"/>
      <c r="AB14" s="18"/>
      <c r="AC14" s="19"/>
    </row>
    <row r="15" spans="1:29">
      <c r="A15">
        <v>10</v>
      </c>
      <c r="B15" s="30" t="s">
        <v>3191</v>
      </c>
      <c r="C15" t="s">
        <v>3224</v>
      </c>
      <c r="D15" t="s">
        <v>3292</v>
      </c>
      <c r="E15" s="36"/>
      <c r="F15" s="31"/>
      <c r="G15" s="55"/>
      <c r="H15" s="56"/>
      <c r="I15" s="54"/>
      <c r="K15" s="17"/>
      <c r="L15" s="123">
        <v>7</v>
      </c>
      <c r="M15" s="77" t="s">
        <v>3219</v>
      </c>
      <c r="N15" s="78"/>
      <c r="O15" s="126">
        <v>8</v>
      </c>
      <c r="P15" s="35" t="s">
        <v>3218</v>
      </c>
      <c r="Q15" s="35"/>
      <c r="R15" s="284"/>
      <c r="S15" s="285"/>
      <c r="T15" s="18"/>
      <c r="U15" s="18"/>
      <c r="V15" s="32"/>
      <c r="W15" s="32"/>
      <c r="X15" s="32"/>
      <c r="Y15" s="32"/>
      <c r="Z15" s="32"/>
      <c r="AA15" s="32"/>
      <c r="AB15" s="32"/>
      <c r="AC15" s="19"/>
    </row>
    <row r="16" spans="1:29">
      <c r="A16">
        <v>11</v>
      </c>
      <c r="B16" s="30" t="s">
        <v>3192</v>
      </c>
      <c r="C16" s="27" t="s">
        <v>3346</v>
      </c>
      <c r="D16" t="b">
        <f>LEN(P24)&gt;0</f>
        <v>1</v>
      </c>
      <c r="E16" t="s">
        <v>3290</v>
      </c>
      <c r="F16" s="31"/>
      <c r="G16" s="53"/>
      <c r="H16" s="54"/>
      <c r="K16" s="17"/>
      <c r="L16" s="18"/>
      <c r="M16" s="76"/>
      <c r="N16" s="18"/>
      <c r="O16" s="24"/>
      <c r="P16" s="24"/>
      <c r="Q16" s="24"/>
      <c r="R16" s="76"/>
      <c r="S16" s="76"/>
      <c r="T16" s="18"/>
      <c r="U16" s="18"/>
      <c r="V16" s="32"/>
      <c r="W16" s="32"/>
      <c r="X16" s="32"/>
      <c r="Y16" s="32"/>
      <c r="Z16" s="32"/>
      <c r="AA16" s="32"/>
      <c r="AB16" s="32"/>
      <c r="AC16" s="19"/>
    </row>
    <row r="17" spans="1:29">
      <c r="A17">
        <v>12</v>
      </c>
      <c r="B17" s="30" t="s">
        <v>3194</v>
      </c>
      <c r="C17" t="s">
        <v>3224</v>
      </c>
      <c r="D17" t="s">
        <v>3293</v>
      </c>
      <c r="E17" s="31" t="s">
        <v>3225</v>
      </c>
      <c r="G17" s="53"/>
      <c r="H17" s="54"/>
      <c r="J17" t="s">
        <v>3277</v>
      </c>
      <c r="K17" s="17"/>
      <c r="L17" s="123">
        <v>9</v>
      </c>
      <c r="M17" s="57" t="s">
        <v>3249</v>
      </c>
      <c r="N17" s="18"/>
      <c r="O17" s="267"/>
      <c r="P17" s="272"/>
      <c r="Q17" s="272"/>
      <c r="R17" s="272"/>
      <c r="S17" s="268"/>
      <c r="T17" s="18"/>
      <c r="U17" s="18"/>
      <c r="V17" s="32"/>
      <c r="W17" s="32"/>
      <c r="X17" s="32"/>
      <c r="Y17" s="32"/>
      <c r="Z17" s="32"/>
      <c r="AA17" s="32"/>
      <c r="AB17" s="32"/>
      <c r="AC17" s="19"/>
    </row>
    <row r="18" spans="1:29">
      <c r="A18">
        <v>13</v>
      </c>
      <c r="B18" s="137" t="s">
        <v>3208</v>
      </c>
      <c r="C18" t="s">
        <v>3221</v>
      </c>
      <c r="J18" t="s">
        <v>3277</v>
      </c>
      <c r="K18" s="17"/>
      <c r="L18" s="18"/>
      <c r="M18" s="76"/>
      <c r="N18" s="78"/>
      <c r="O18" s="24"/>
      <c r="P18" s="24"/>
      <c r="Q18" s="24"/>
      <c r="R18" s="76"/>
      <c r="S18" s="76"/>
      <c r="T18" s="18"/>
      <c r="U18" s="18"/>
      <c r="V18" s="32"/>
      <c r="W18" s="32"/>
      <c r="X18" s="32"/>
      <c r="Y18" s="32"/>
      <c r="Z18" s="32"/>
      <c r="AA18" s="32"/>
      <c r="AB18" s="32"/>
      <c r="AC18" s="19"/>
    </row>
    <row r="19" spans="1:29" ht="18.75">
      <c r="A19">
        <v>14</v>
      </c>
      <c r="B19" s="148" t="s">
        <v>3236</v>
      </c>
      <c r="C19" t="s">
        <v>3224</v>
      </c>
      <c r="D19" t="s">
        <v>3279</v>
      </c>
      <c r="E19" s="27" t="s">
        <v>3234</v>
      </c>
      <c r="J19" t="s">
        <v>3277</v>
      </c>
      <c r="K19" s="17"/>
      <c r="L19" s="130"/>
      <c r="M19" s="131"/>
      <c r="N19" s="286" t="s">
        <v>3243</v>
      </c>
      <c r="O19" s="286"/>
      <c r="P19" s="286"/>
      <c r="Q19" s="286"/>
      <c r="R19" s="286"/>
      <c r="S19" s="131"/>
      <c r="T19" s="132"/>
      <c r="U19" s="18"/>
      <c r="V19" s="304" t="s">
        <v>3251</v>
      </c>
      <c r="W19" s="305"/>
      <c r="X19" s="305"/>
      <c r="Y19" s="305"/>
      <c r="Z19" s="305"/>
      <c r="AA19" s="305"/>
      <c r="AB19" s="306"/>
      <c r="AC19" s="19"/>
    </row>
    <row r="20" spans="1:29" ht="18.75">
      <c r="A20">
        <v>15</v>
      </c>
      <c r="B20" s="30" t="s">
        <v>3238</v>
      </c>
      <c r="C20" t="s">
        <v>3221</v>
      </c>
      <c r="J20" t="s">
        <v>3277</v>
      </c>
      <c r="K20" s="17"/>
      <c r="L20" s="104"/>
      <c r="M20" s="18"/>
      <c r="N20" s="99"/>
      <c r="O20" s="99"/>
      <c r="P20" s="99"/>
      <c r="Q20" s="99"/>
      <c r="R20" s="99"/>
      <c r="S20" s="18"/>
      <c r="T20" s="105"/>
      <c r="U20" s="18"/>
      <c r="V20" s="127"/>
      <c r="W20" s="128"/>
      <c r="X20" s="128"/>
      <c r="Y20" s="128"/>
      <c r="Z20" s="128"/>
      <c r="AA20" s="128"/>
      <c r="AB20" s="129"/>
      <c r="AC20" s="19"/>
    </row>
    <row r="21" spans="1:29" ht="18.75">
      <c r="A21">
        <v>16</v>
      </c>
      <c r="B21" s="30" t="s">
        <v>3237</v>
      </c>
      <c r="C21" t="s">
        <v>3221</v>
      </c>
      <c r="J21" t="s">
        <v>3277</v>
      </c>
      <c r="K21" s="17"/>
      <c r="L21" s="104"/>
      <c r="M21" s="30" t="s">
        <v>3262</v>
      </c>
      <c r="N21" s="99"/>
      <c r="O21" s="99"/>
      <c r="P21" s="99"/>
      <c r="Q21" s="99"/>
      <c r="R21" s="99"/>
      <c r="S21" s="18"/>
      <c r="T21" s="105"/>
      <c r="U21" s="18"/>
      <c r="V21" s="127"/>
      <c r="W21" s="128"/>
      <c r="X21" s="128"/>
      <c r="Y21" s="128"/>
      <c r="Z21" s="128"/>
      <c r="AA21" s="128"/>
      <c r="AB21" s="129"/>
      <c r="AC21" s="19"/>
    </row>
    <row r="22" spans="1:29" ht="18.75">
      <c r="A22">
        <v>17</v>
      </c>
      <c r="B22" s="30" t="s">
        <v>3242</v>
      </c>
      <c r="C22" t="s">
        <v>3278</v>
      </c>
      <c r="D22" s="34" t="b">
        <f>AND(LEN(P33)&gt;=10,ISNUMBER(P33))</f>
        <v>1</v>
      </c>
      <c r="E22" s="37" t="s">
        <v>3197</v>
      </c>
      <c r="J22" t="s">
        <v>3277</v>
      </c>
      <c r="K22" s="17"/>
      <c r="L22" s="133">
        <v>10</v>
      </c>
      <c r="M22" s="267"/>
      <c r="N22" s="272"/>
      <c r="O22" s="272"/>
      <c r="P22" s="272"/>
      <c r="Q22" s="272"/>
      <c r="R22" s="272"/>
      <c r="S22" s="268"/>
      <c r="T22" s="105"/>
      <c r="U22" s="18"/>
      <c r="V22" s="127"/>
      <c r="W22" s="128"/>
      <c r="X22" s="128"/>
      <c r="Y22" s="128"/>
      <c r="Z22" s="128"/>
      <c r="AA22" s="128"/>
      <c r="AB22" s="129"/>
      <c r="AC22" s="19"/>
    </row>
    <row r="23" spans="1:29">
      <c r="A23">
        <v>18</v>
      </c>
      <c r="B23" s="30" t="s">
        <v>3241</v>
      </c>
      <c r="C23" t="s">
        <v>3221</v>
      </c>
      <c r="J23" t="s">
        <v>3277</v>
      </c>
      <c r="K23" s="17"/>
      <c r="L23" s="134"/>
      <c r="M23" s="25" t="s">
        <v>3192</v>
      </c>
      <c r="N23" s="79"/>
      <c r="O23" s="18"/>
      <c r="P23" s="25" t="s">
        <v>3194</v>
      </c>
      <c r="Q23" s="18"/>
      <c r="R23" s="18"/>
      <c r="S23" s="57" t="s">
        <v>3208</v>
      </c>
      <c r="T23" s="84"/>
      <c r="U23" s="18"/>
      <c r="V23" s="141"/>
      <c r="W23" s="25" t="s">
        <v>3255</v>
      </c>
      <c r="X23" s="18"/>
      <c r="Y23" s="18"/>
      <c r="Z23" s="18"/>
      <c r="AA23" s="18"/>
      <c r="AB23" s="84"/>
      <c r="AC23" s="19"/>
    </row>
    <row r="24" spans="1:29">
      <c r="A24">
        <v>19</v>
      </c>
      <c r="B24" s="30" t="s">
        <v>3246</v>
      </c>
      <c r="C24" t="s">
        <v>3221</v>
      </c>
      <c r="J24" t="s">
        <v>3277</v>
      </c>
      <c r="K24" s="17"/>
      <c r="L24" s="134">
        <v>11</v>
      </c>
      <c r="M24" s="267" t="s">
        <v>3147</v>
      </c>
      <c r="N24" s="268"/>
      <c r="O24" s="18">
        <v>12</v>
      </c>
      <c r="P24" s="267" t="s">
        <v>3158</v>
      </c>
      <c r="Q24" s="268"/>
      <c r="R24" s="18">
        <v>13</v>
      </c>
      <c r="S24" s="58"/>
      <c r="T24" s="84"/>
      <c r="U24" s="18"/>
      <c r="V24" s="141"/>
      <c r="W24" s="18"/>
      <c r="X24" s="18"/>
      <c r="Y24" s="18"/>
      <c r="Z24" s="18"/>
      <c r="AA24" s="18"/>
      <c r="AB24" s="84"/>
      <c r="AC24" s="19"/>
    </row>
    <row r="25" spans="1:29">
      <c r="B25" s="147" t="s">
        <v>3193</v>
      </c>
      <c r="C25" t="s">
        <v>3235</v>
      </c>
      <c r="J25" t="s">
        <v>3277</v>
      </c>
      <c r="K25" s="17"/>
      <c r="L25" s="134"/>
      <c r="M25" s="76"/>
      <c r="N25" s="76"/>
      <c r="O25" s="18"/>
      <c r="P25" s="76"/>
      <c r="Q25" s="76"/>
      <c r="R25" s="18"/>
      <c r="S25" s="18"/>
      <c r="T25" s="84"/>
      <c r="U25" s="18"/>
      <c r="V25" s="141">
        <v>31</v>
      </c>
      <c r="W25" s="100"/>
      <c r="X25" s="100"/>
      <c r="Y25" s="100"/>
      <c r="Z25" s="100"/>
      <c r="AA25" s="100"/>
      <c r="AB25" s="84"/>
      <c r="AC25" s="19"/>
    </row>
    <row r="26" spans="1:29">
      <c r="B26" s="27"/>
      <c r="J26" t="s">
        <v>3277</v>
      </c>
      <c r="K26" s="17"/>
      <c r="L26" s="134">
        <v>14</v>
      </c>
      <c r="M26" s="18" t="s">
        <v>3223</v>
      </c>
      <c r="N26" s="18"/>
      <c r="O26" s="18"/>
      <c r="P26" s="273" t="s">
        <v>3228</v>
      </c>
      <c r="Q26" s="274"/>
      <c r="R26" s="18"/>
      <c r="S26" s="18"/>
      <c r="T26" s="84"/>
      <c r="U26" s="18"/>
      <c r="V26" s="141"/>
      <c r="W26" s="18"/>
      <c r="X26" s="18"/>
      <c r="Y26" s="18"/>
      <c r="Z26" s="18"/>
      <c r="AA26" s="18"/>
      <c r="AB26" s="84"/>
      <c r="AC26" s="19"/>
    </row>
    <row r="27" spans="1:29">
      <c r="A27">
        <v>20</v>
      </c>
      <c r="B27" s="147" t="s">
        <v>3245</v>
      </c>
      <c r="C27" t="s">
        <v>3280</v>
      </c>
      <c r="D27" t="b">
        <f>IF(P24="British Columbia",LEFT(10,4),IF(P24="Alberta",LEFT(11,2),IF(P24="Sascatchevan",LEFT(12,2),IF(P24="Manitoba",LEFT(13,2),IF(P24="Ontario",LEFT(14,2),IF(P24="Ontario",LEFT(20,2),IF(P24="Québec",LEFT(15,2),IF(P24="New Brunsic",LEFT(16,2),IF(P24="Nova Scotia",LEFT(17,2))))))))))</f>
        <v>0</v>
      </c>
      <c r="F27" s="27"/>
      <c r="J27" t="s">
        <v>3277</v>
      </c>
      <c r="K27" s="17"/>
      <c r="L27" s="134"/>
      <c r="M27" s="18"/>
      <c r="N27" s="18"/>
      <c r="O27" s="18"/>
      <c r="P27" s="18"/>
      <c r="Q27" s="18"/>
      <c r="R27" s="18"/>
      <c r="S27" s="18"/>
      <c r="T27" s="84"/>
      <c r="U27" s="18"/>
      <c r="V27" s="141"/>
      <c r="W27" s="78"/>
      <c r="X27" s="18"/>
      <c r="Y27" s="18"/>
      <c r="Z27" s="18"/>
      <c r="AA27" s="18"/>
      <c r="AB27" s="84"/>
      <c r="AC27" s="19"/>
    </row>
    <row r="28" spans="1:29">
      <c r="B28" s="145" t="s">
        <v>3288</v>
      </c>
      <c r="C28" t="s">
        <v>3235</v>
      </c>
      <c r="J28" t="s">
        <v>3277</v>
      </c>
      <c r="K28" s="17"/>
      <c r="L28" s="134"/>
      <c r="M28" s="24" t="s">
        <v>3238</v>
      </c>
      <c r="N28" s="24"/>
      <c r="O28" s="18"/>
      <c r="P28" s="18"/>
      <c r="Q28" s="18"/>
      <c r="R28" s="18"/>
      <c r="S28" s="18"/>
      <c r="T28" s="84"/>
      <c r="U28" s="18"/>
      <c r="V28" s="141"/>
      <c r="W28" s="25" t="s">
        <v>3256</v>
      </c>
      <c r="X28" s="18"/>
      <c r="Y28" s="18"/>
      <c r="Z28" s="18"/>
      <c r="AA28" s="18"/>
      <c r="AB28" s="84"/>
      <c r="AC28" s="19"/>
    </row>
    <row r="29" spans="1:29">
      <c r="A29">
        <v>22</v>
      </c>
      <c r="B29" s="30" t="s">
        <v>3248</v>
      </c>
      <c r="C29" s="27" t="s">
        <v>3346</v>
      </c>
      <c r="J29" t="s">
        <v>3277</v>
      </c>
      <c r="K29" s="17"/>
      <c r="L29" s="134">
        <v>15</v>
      </c>
      <c r="M29" s="267"/>
      <c r="N29" s="272"/>
      <c r="O29" s="272"/>
      <c r="P29" s="272"/>
      <c r="Q29" s="268"/>
      <c r="R29" s="18"/>
      <c r="S29" s="18"/>
      <c r="T29" s="84"/>
      <c r="U29" s="18"/>
      <c r="V29" s="141"/>
      <c r="W29" s="100"/>
      <c r="X29" s="100"/>
      <c r="Y29" s="100"/>
      <c r="Z29" s="100"/>
      <c r="AA29" s="100"/>
      <c r="AB29" s="84"/>
      <c r="AC29" s="19"/>
    </row>
    <row r="30" spans="1:29">
      <c r="A30">
        <v>23</v>
      </c>
      <c r="B30" s="35" t="s">
        <v>3263</v>
      </c>
      <c r="C30" s="27" t="s">
        <v>3346</v>
      </c>
      <c r="E30" t="s">
        <v>3290</v>
      </c>
      <c r="K30" s="17"/>
      <c r="L30" s="134"/>
      <c r="M30" s="18"/>
      <c r="N30" s="18"/>
      <c r="O30" s="18"/>
      <c r="P30" s="18"/>
      <c r="Q30" s="18"/>
      <c r="R30" s="18"/>
      <c r="S30" s="18"/>
      <c r="T30" s="84"/>
      <c r="U30" s="18"/>
      <c r="V30" s="141"/>
      <c r="W30" s="25" t="s">
        <v>3257</v>
      </c>
      <c r="X30" s="18"/>
      <c r="Y30" s="18"/>
      <c r="Z30" s="18"/>
      <c r="AA30" s="18"/>
      <c r="AB30" s="84"/>
      <c r="AC30" s="19"/>
    </row>
    <row r="31" spans="1:29">
      <c r="A31">
        <v>24</v>
      </c>
      <c r="B31" s="35" t="s">
        <v>3264</v>
      </c>
      <c r="C31" t="s">
        <v>3224</v>
      </c>
      <c r="D31" t="s">
        <v>3293</v>
      </c>
      <c r="G31">
        <v>1</v>
      </c>
      <c r="K31" s="17"/>
      <c r="L31" s="134">
        <v>16</v>
      </c>
      <c r="M31" s="24" t="s">
        <v>3237</v>
      </c>
      <c r="N31" s="18"/>
      <c r="O31" s="18"/>
      <c r="P31" s="267"/>
      <c r="Q31" s="268"/>
      <c r="R31" s="18"/>
      <c r="S31" s="18"/>
      <c r="T31" s="84"/>
      <c r="U31" s="18"/>
      <c r="V31" s="141">
        <v>32</v>
      </c>
      <c r="W31" s="101"/>
      <c r="X31" s="102"/>
      <c r="Y31" s="102"/>
      <c r="Z31" s="102"/>
      <c r="AA31" s="98"/>
      <c r="AB31" s="84"/>
      <c r="AC31" s="19"/>
    </row>
    <row r="32" spans="1:29">
      <c r="A32">
        <v>25</v>
      </c>
      <c r="B32" s="94" t="s">
        <v>3265</v>
      </c>
      <c r="C32" t="s">
        <v>3221</v>
      </c>
      <c r="K32" s="17"/>
      <c r="L32" s="134"/>
      <c r="M32" s="18"/>
      <c r="N32" s="18"/>
      <c r="O32" s="18"/>
      <c r="P32" s="18"/>
      <c r="Q32" s="18"/>
      <c r="R32" s="18"/>
      <c r="S32" s="18"/>
      <c r="T32" s="84"/>
      <c r="U32" s="18"/>
      <c r="V32" s="141"/>
      <c r="W32" s="18"/>
      <c r="X32" s="18"/>
      <c r="Y32" s="18"/>
      <c r="Z32" s="18"/>
      <c r="AA32" s="18"/>
      <c r="AB32" s="84"/>
      <c r="AC32" s="19"/>
    </row>
    <row r="33" spans="1:29">
      <c r="A33">
        <v>26</v>
      </c>
      <c r="B33" s="35" t="s">
        <v>3266</v>
      </c>
      <c r="C33" t="s">
        <v>3221</v>
      </c>
      <c r="K33" s="17"/>
      <c r="L33" s="134">
        <v>17</v>
      </c>
      <c r="M33" s="25" t="s">
        <v>3242</v>
      </c>
      <c r="N33" s="18"/>
      <c r="O33" s="18"/>
      <c r="P33" s="270">
        <v>5145555555</v>
      </c>
      <c r="Q33" s="271"/>
      <c r="R33" s="18"/>
      <c r="S33" s="18"/>
      <c r="T33" s="84"/>
      <c r="U33" s="18"/>
      <c r="V33" s="141">
        <v>33</v>
      </c>
      <c r="W33" s="25" t="s">
        <v>3258</v>
      </c>
      <c r="X33" s="18"/>
      <c r="Y33" s="18"/>
      <c r="Z33" s="139"/>
      <c r="AA33" s="140"/>
      <c r="AB33" s="84"/>
      <c r="AC33" s="19"/>
    </row>
    <row r="34" spans="1:29">
      <c r="A34">
        <v>27</v>
      </c>
      <c r="B34" s="35" t="s">
        <v>3267</v>
      </c>
      <c r="C34" t="s">
        <v>3221</v>
      </c>
      <c r="K34" s="17"/>
      <c r="L34" s="134"/>
      <c r="M34" s="18"/>
      <c r="N34" s="18"/>
      <c r="O34" s="18"/>
      <c r="P34" s="18"/>
      <c r="Q34" s="18"/>
      <c r="R34" s="18"/>
      <c r="S34" s="18"/>
      <c r="T34" s="84"/>
      <c r="U34" s="18"/>
      <c r="V34" s="141"/>
      <c r="W34" s="18"/>
      <c r="X34" s="18"/>
      <c r="Y34" s="18"/>
      <c r="Z34" s="18"/>
      <c r="AA34" s="18"/>
      <c r="AB34" s="84"/>
      <c r="AC34" s="19"/>
    </row>
    <row r="35" spans="1:29">
      <c r="A35">
        <v>28</v>
      </c>
      <c r="B35" s="35" t="s">
        <v>3268</v>
      </c>
      <c r="C35" t="s">
        <v>3280</v>
      </c>
      <c r="E35" s="149"/>
      <c r="K35" s="17"/>
      <c r="L35" s="134">
        <v>18</v>
      </c>
      <c r="M35" s="25" t="s">
        <v>3241</v>
      </c>
      <c r="N35" s="18"/>
      <c r="O35" s="18"/>
      <c r="P35" s="301"/>
      <c r="Q35" s="302"/>
      <c r="R35" s="24"/>
      <c r="S35" s="24"/>
      <c r="T35" s="84"/>
      <c r="U35" s="18"/>
      <c r="V35" s="141">
        <v>34</v>
      </c>
      <c r="W35" s="18" t="s">
        <v>3259</v>
      </c>
      <c r="X35" s="18"/>
      <c r="Y35" s="18"/>
      <c r="Z35" s="72"/>
      <c r="AA35" s="73"/>
      <c r="AB35" s="84"/>
      <c r="AC35" s="19"/>
    </row>
    <row r="36" spans="1:29">
      <c r="A36">
        <v>29</v>
      </c>
      <c r="B36" s="35" t="s">
        <v>3269</v>
      </c>
      <c r="C36" t="s">
        <v>3221</v>
      </c>
      <c r="K36" s="17"/>
      <c r="L36" s="134"/>
      <c r="M36" s="25"/>
      <c r="N36" s="18"/>
      <c r="O36" s="18"/>
      <c r="P36" s="91"/>
      <c r="Q36" s="91"/>
      <c r="R36" s="24"/>
      <c r="S36" s="24"/>
      <c r="T36" s="84"/>
      <c r="U36" s="18"/>
      <c r="V36" s="141"/>
      <c r="W36" s="18"/>
      <c r="X36" s="18"/>
      <c r="Y36" s="18"/>
      <c r="Z36" s="18"/>
      <c r="AA36" s="18"/>
      <c r="AB36" s="84"/>
      <c r="AC36" s="19"/>
    </row>
    <row r="37" spans="1:29">
      <c r="A37">
        <v>30</v>
      </c>
      <c r="B37" s="107" t="s">
        <v>3270</v>
      </c>
      <c r="C37" t="s">
        <v>3221</v>
      </c>
      <c r="K37" s="17"/>
      <c r="L37" s="134">
        <v>19</v>
      </c>
      <c r="M37" s="25" t="s">
        <v>3246</v>
      </c>
      <c r="N37" s="18"/>
      <c r="O37" s="18"/>
      <c r="P37" s="301"/>
      <c r="Q37" s="302"/>
      <c r="R37" s="24"/>
      <c r="S37" s="24"/>
      <c r="T37" s="84"/>
      <c r="U37" s="18"/>
      <c r="V37" s="141">
        <v>35</v>
      </c>
      <c r="W37" s="25" t="s">
        <v>3271</v>
      </c>
      <c r="X37" s="18"/>
      <c r="Y37" s="18"/>
      <c r="Z37" s="97"/>
      <c r="AA37" s="103"/>
      <c r="AB37" s="84"/>
      <c r="AC37" s="19"/>
    </row>
    <row r="38" spans="1:29">
      <c r="B38" s="27"/>
      <c r="K38" s="17"/>
      <c r="L38" s="83"/>
      <c r="M38" s="25"/>
      <c r="N38" s="18"/>
      <c r="O38" s="18"/>
      <c r="P38" s="91"/>
      <c r="Q38" s="91"/>
      <c r="R38" s="24"/>
      <c r="S38" s="24"/>
      <c r="T38" s="84"/>
      <c r="U38" s="18"/>
      <c r="V38" s="141"/>
      <c r="W38" s="18"/>
      <c r="X38" s="18"/>
      <c r="Y38" s="18"/>
      <c r="Z38" s="18"/>
      <c r="AA38" s="18"/>
      <c r="AB38" s="84"/>
      <c r="AC38" s="19"/>
    </row>
    <row r="39" spans="1:29">
      <c r="A39">
        <v>31</v>
      </c>
      <c r="B39" s="145" t="s">
        <v>3284</v>
      </c>
      <c r="C39" s="146"/>
      <c r="K39" s="17"/>
      <c r="L39" s="83"/>
      <c r="M39" s="18"/>
      <c r="N39" s="18"/>
      <c r="O39" s="18"/>
      <c r="P39" s="18"/>
      <c r="Q39" s="18"/>
      <c r="R39" s="18"/>
      <c r="S39" s="18"/>
      <c r="T39" s="84"/>
      <c r="U39" s="18"/>
      <c r="V39" s="141">
        <v>36</v>
      </c>
      <c r="W39" s="18" t="s">
        <v>3125</v>
      </c>
      <c r="X39" s="18"/>
      <c r="Y39" s="18"/>
      <c r="Z39" s="97"/>
      <c r="AA39" s="98"/>
      <c r="AB39" s="84"/>
      <c r="AC39" s="19"/>
    </row>
    <row r="40" spans="1:29">
      <c r="A40">
        <v>32</v>
      </c>
      <c r="B40" s="145" t="s">
        <v>3257</v>
      </c>
      <c r="C40" s="146"/>
      <c r="K40" s="17"/>
      <c r="L40" s="83"/>
      <c r="M40" s="18" t="s">
        <v>3193</v>
      </c>
      <c r="N40" s="18"/>
      <c r="O40" s="18"/>
      <c r="P40" s="18"/>
      <c r="Q40" s="18"/>
      <c r="R40" s="18"/>
      <c r="S40" s="18"/>
      <c r="T40" s="84"/>
      <c r="U40" s="18"/>
      <c r="V40" s="141"/>
      <c r="W40" s="18"/>
      <c r="X40" s="18"/>
      <c r="Y40" s="18"/>
      <c r="Z40" s="18"/>
      <c r="AA40" s="18"/>
      <c r="AB40" s="84"/>
      <c r="AC40" s="19"/>
    </row>
    <row r="41" spans="1:29">
      <c r="A41">
        <v>33</v>
      </c>
      <c r="B41" s="31" t="s">
        <v>3259</v>
      </c>
      <c r="C41" s="27" t="s">
        <v>3346</v>
      </c>
      <c r="K41" s="17"/>
      <c r="L41" s="88"/>
      <c r="M41" s="299"/>
      <c r="N41" s="303"/>
      <c r="O41" s="303"/>
      <c r="P41" s="303"/>
      <c r="Q41" s="303"/>
      <c r="R41" s="303"/>
      <c r="S41" s="300"/>
      <c r="T41" s="89"/>
      <c r="U41" s="18"/>
      <c r="V41" s="141">
        <v>36</v>
      </c>
      <c r="W41" s="25" t="s">
        <v>3260</v>
      </c>
      <c r="X41" s="18"/>
      <c r="Y41" s="18"/>
      <c r="Z41" s="18"/>
      <c r="AA41" s="18"/>
      <c r="AB41" s="84"/>
      <c r="AC41" s="19"/>
    </row>
    <row r="42" spans="1:29">
      <c r="A42">
        <v>34</v>
      </c>
      <c r="B42" s="30" t="s">
        <v>3271</v>
      </c>
      <c r="C42" s="27" t="s">
        <v>3346</v>
      </c>
      <c r="K42" s="17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41"/>
      <c r="W42" s="113"/>
      <c r="X42" s="114"/>
      <c r="Y42" s="114"/>
      <c r="Z42" s="114"/>
      <c r="AA42" s="115"/>
      <c r="AB42" s="84"/>
      <c r="AC42" s="19"/>
    </row>
    <row r="43" spans="1:29">
      <c r="A43">
        <v>35</v>
      </c>
      <c r="B43" s="31" t="s">
        <v>3125</v>
      </c>
      <c r="C43" s="27" t="s">
        <v>3346</v>
      </c>
      <c r="K43" s="17"/>
      <c r="L43" s="296" t="s">
        <v>3244</v>
      </c>
      <c r="M43" s="297"/>
      <c r="N43" s="297"/>
      <c r="O43" s="297"/>
      <c r="P43" s="297"/>
      <c r="Q43" s="297"/>
      <c r="R43" s="297"/>
      <c r="S43" s="297"/>
      <c r="T43" s="298"/>
      <c r="U43" s="18"/>
      <c r="V43" s="141"/>
      <c r="W43" s="116"/>
      <c r="X43" s="117"/>
      <c r="Y43" s="117"/>
      <c r="Z43" s="117"/>
      <c r="AA43" s="118"/>
      <c r="AB43" s="84"/>
      <c r="AC43" s="19"/>
    </row>
    <row r="44" spans="1:29">
      <c r="A44">
        <v>36</v>
      </c>
      <c r="B44" s="30" t="s">
        <v>3260</v>
      </c>
      <c r="C44" t="s">
        <v>3282</v>
      </c>
      <c r="K44" s="17"/>
      <c r="L44" s="104"/>
      <c r="M44" s="18"/>
      <c r="N44" s="18"/>
      <c r="O44" s="18"/>
      <c r="P44" s="18"/>
      <c r="Q44" s="18"/>
      <c r="R44" s="18"/>
      <c r="S44" s="18"/>
      <c r="T44" s="105"/>
      <c r="U44" s="18"/>
      <c r="V44" s="141"/>
      <c r="W44" s="119"/>
      <c r="X44" s="120"/>
      <c r="Y44" s="120"/>
      <c r="Z44" s="120"/>
      <c r="AA44" s="121"/>
      <c r="AB44" s="84"/>
      <c r="AC44" s="19"/>
    </row>
    <row r="45" spans="1:29">
      <c r="A45">
        <v>37</v>
      </c>
      <c r="B45" s="86" t="s">
        <v>3281</v>
      </c>
      <c r="C45" s="27" t="s">
        <v>3346</v>
      </c>
      <c r="K45" s="17"/>
      <c r="L45" s="133">
        <v>20</v>
      </c>
      <c r="M45" s="18" t="s">
        <v>3245</v>
      </c>
      <c r="N45" s="18"/>
      <c r="O45" s="18"/>
      <c r="P45" s="18"/>
      <c r="Q45" s="299" t="s">
        <v>3213</v>
      </c>
      <c r="R45" s="300"/>
      <c r="S45" s="18"/>
      <c r="T45" s="105"/>
      <c r="U45" s="18"/>
      <c r="V45" s="141"/>
      <c r="W45" s="32"/>
      <c r="X45" s="32"/>
      <c r="Y45" s="32"/>
      <c r="Z45" s="32"/>
      <c r="AA45" s="32"/>
      <c r="AB45" s="84"/>
      <c r="AC45" s="19"/>
    </row>
    <row r="46" spans="1:29">
      <c r="K46" s="17"/>
      <c r="L46" s="104"/>
      <c r="M46" s="18"/>
      <c r="N46" s="18"/>
      <c r="O46" s="18"/>
      <c r="P46" s="18"/>
      <c r="Q46" s="18"/>
      <c r="R46" s="18"/>
      <c r="S46" s="18"/>
      <c r="T46" s="105"/>
      <c r="U46" s="18"/>
      <c r="V46" s="141">
        <v>37</v>
      </c>
      <c r="W46" s="18" t="s">
        <v>3281</v>
      </c>
      <c r="X46" s="18"/>
      <c r="Y46" s="318"/>
      <c r="Z46" s="318"/>
      <c r="AA46" s="18"/>
      <c r="AB46" s="84"/>
      <c r="AC46" s="19"/>
    </row>
    <row r="47" spans="1:29">
      <c r="A47">
        <v>38</v>
      </c>
      <c r="B47" s="138" t="s">
        <v>3252</v>
      </c>
      <c r="C47" t="s">
        <v>3283</v>
      </c>
      <c r="K47" s="17"/>
      <c r="L47" s="104"/>
      <c r="M47" s="25" t="s">
        <v>3247</v>
      </c>
      <c r="N47" s="18"/>
      <c r="O47" s="18"/>
      <c r="P47" s="18"/>
      <c r="Q47" s="18"/>
      <c r="R47" s="18"/>
      <c r="S47" s="18"/>
      <c r="T47" s="105"/>
      <c r="U47" s="18"/>
      <c r="W47" s="32"/>
      <c r="X47" s="32"/>
      <c r="Y47" s="32"/>
      <c r="Z47" s="32"/>
      <c r="AA47" s="32"/>
      <c r="AB47" s="32"/>
      <c r="AC47" s="19"/>
    </row>
    <row r="48" spans="1:29">
      <c r="A48">
        <v>39</v>
      </c>
      <c r="B48" s="31" t="s">
        <v>3254</v>
      </c>
      <c r="C48" s="27" t="s">
        <v>3346</v>
      </c>
      <c r="K48" s="17"/>
      <c r="L48" s="104"/>
      <c r="M48" s="293"/>
      <c r="N48" s="294"/>
      <c r="O48" s="294"/>
      <c r="P48" s="294"/>
      <c r="Q48" s="294"/>
      <c r="R48" s="294"/>
      <c r="S48" s="294"/>
      <c r="T48" s="110"/>
      <c r="U48" s="18"/>
      <c r="V48" s="80"/>
      <c r="W48" s="81"/>
      <c r="X48" s="81"/>
      <c r="Y48" s="81"/>
      <c r="Z48" s="81"/>
      <c r="AA48" s="81"/>
      <c r="AB48" s="82"/>
      <c r="AC48" s="19"/>
    </row>
    <row r="49" spans="1:29">
      <c r="B49" s="31" t="s">
        <v>3253</v>
      </c>
      <c r="K49" s="17"/>
      <c r="L49" s="104"/>
      <c r="M49" s="18"/>
      <c r="N49" s="18"/>
      <c r="O49" s="18"/>
      <c r="P49" s="18"/>
      <c r="Q49" s="18"/>
      <c r="R49" s="18"/>
      <c r="S49" s="18"/>
      <c r="T49" s="105"/>
      <c r="U49" s="18"/>
      <c r="V49" s="134">
        <v>38</v>
      </c>
      <c r="W49" s="25" t="s">
        <v>3252</v>
      </c>
      <c r="X49" s="18"/>
      <c r="Y49" s="18"/>
      <c r="Z49" s="18"/>
      <c r="AA49" s="18"/>
      <c r="AB49" s="84"/>
      <c r="AC49" s="19"/>
    </row>
    <row r="50" spans="1:29">
      <c r="A50">
        <v>40</v>
      </c>
      <c r="B50" s="25" t="s">
        <v>3285</v>
      </c>
      <c r="C50" t="s">
        <v>3287</v>
      </c>
      <c r="K50" s="17"/>
      <c r="L50" s="133">
        <v>22</v>
      </c>
      <c r="M50" s="25" t="s">
        <v>3248</v>
      </c>
      <c r="N50" s="18"/>
      <c r="O50" s="18"/>
      <c r="P50" s="18"/>
      <c r="Q50" s="18"/>
      <c r="R50" s="18"/>
      <c r="S50" s="58"/>
      <c r="T50" s="105"/>
      <c r="U50" s="18"/>
      <c r="V50" s="112"/>
      <c r="W50" s="267"/>
      <c r="X50" s="272"/>
      <c r="Y50" s="272"/>
      <c r="Z50" s="272"/>
      <c r="AA50" s="268"/>
      <c r="AB50" s="142"/>
      <c r="AC50" s="19"/>
    </row>
    <row r="51" spans="1:29">
      <c r="K51" s="17"/>
      <c r="L51" s="104"/>
      <c r="M51" s="18"/>
      <c r="N51" s="18"/>
      <c r="O51" s="18"/>
      <c r="P51" s="18"/>
      <c r="Q51" s="18"/>
      <c r="R51" s="18"/>
      <c r="S51" s="18"/>
      <c r="T51" s="105"/>
      <c r="U51" s="18"/>
      <c r="V51" s="83"/>
      <c r="W51" s="18"/>
      <c r="X51" s="18"/>
      <c r="Y51" s="18"/>
      <c r="Z51" s="18"/>
      <c r="AA51" s="18"/>
      <c r="AB51" s="84"/>
      <c r="AC51" s="19"/>
    </row>
    <row r="52" spans="1:29">
      <c r="K52" s="17"/>
      <c r="L52" s="104"/>
      <c r="M52" s="35" t="s">
        <v>3263</v>
      </c>
      <c r="N52" s="92"/>
      <c r="O52" s="92"/>
      <c r="P52" s="35" t="s">
        <v>3264</v>
      </c>
      <c r="Q52" s="92"/>
      <c r="R52" s="92"/>
      <c r="S52" s="94" t="s">
        <v>3265</v>
      </c>
      <c r="T52" s="106"/>
      <c r="U52" s="18"/>
      <c r="V52" s="112"/>
      <c r="W52" s="125">
        <v>39</v>
      </c>
      <c r="X52" s="78" t="s">
        <v>3254</v>
      </c>
      <c r="Y52" s="25"/>
      <c r="Z52" s="316"/>
      <c r="AA52" s="317"/>
      <c r="AB52" s="143"/>
      <c r="AC52" s="19"/>
    </row>
    <row r="53" spans="1:29">
      <c r="K53" s="17"/>
      <c r="L53" s="133">
        <v>23</v>
      </c>
      <c r="M53" s="284" t="s">
        <v>3147</v>
      </c>
      <c r="N53" s="285"/>
      <c r="O53" s="135">
        <v>24</v>
      </c>
      <c r="P53" s="284" t="s">
        <v>3158</v>
      </c>
      <c r="Q53" s="285"/>
      <c r="R53" s="135">
        <v>25</v>
      </c>
      <c r="S53" s="75"/>
      <c r="T53" s="106"/>
      <c r="U53" s="18"/>
      <c r="V53" s="111"/>
      <c r="W53" s="18"/>
      <c r="X53" s="18"/>
      <c r="Y53" s="18"/>
      <c r="Z53" s="18"/>
      <c r="AA53" s="18"/>
      <c r="AB53" s="84"/>
      <c r="AC53" s="19"/>
    </row>
    <row r="54" spans="1:29">
      <c r="K54" s="17"/>
      <c r="L54" s="104"/>
      <c r="M54" s="90"/>
      <c r="N54" s="90"/>
      <c r="O54" s="92"/>
      <c r="P54" s="90"/>
      <c r="Q54" s="90"/>
      <c r="R54" s="92"/>
      <c r="S54" s="92"/>
      <c r="T54" s="106"/>
      <c r="U54" s="18"/>
      <c r="V54" s="83"/>
      <c r="W54" s="18"/>
      <c r="X54" s="18" t="s">
        <v>3253</v>
      </c>
      <c r="Y54" s="18"/>
      <c r="Z54" s="267"/>
      <c r="AA54" s="268"/>
      <c r="AB54" s="144"/>
      <c r="AC54" s="19"/>
    </row>
    <row r="55" spans="1:29">
      <c r="K55" s="17"/>
      <c r="L55" s="104"/>
      <c r="M55" s="92"/>
      <c r="N55" s="92"/>
      <c r="O55" s="92"/>
      <c r="P55" s="92"/>
      <c r="Q55" s="92"/>
      <c r="R55" s="92"/>
      <c r="S55" s="92"/>
      <c r="T55" s="106"/>
      <c r="U55" s="18"/>
      <c r="V55" s="141">
        <v>40</v>
      </c>
      <c r="W55" s="25" t="s">
        <v>3286</v>
      </c>
      <c r="X55" s="18"/>
      <c r="Y55" s="18"/>
      <c r="Z55" s="18"/>
      <c r="AA55" s="18"/>
      <c r="AB55" s="84"/>
      <c r="AC55" s="19"/>
    </row>
    <row r="56" spans="1:29">
      <c r="K56" s="17"/>
      <c r="L56" s="104"/>
      <c r="M56" s="35" t="s">
        <v>3266</v>
      </c>
      <c r="N56" s="35"/>
      <c r="O56" s="92"/>
      <c r="P56" s="92"/>
      <c r="Q56" s="92"/>
      <c r="R56" s="92"/>
      <c r="S56" s="92"/>
      <c r="T56" s="106"/>
      <c r="U56" s="18"/>
      <c r="V56" s="83"/>
      <c r="W56" s="307"/>
      <c r="X56" s="308"/>
      <c r="Y56" s="308"/>
      <c r="Z56" s="308"/>
      <c r="AA56" s="309"/>
      <c r="AB56" s="84"/>
      <c r="AC56" s="19"/>
    </row>
    <row r="57" spans="1:29">
      <c r="K57" s="17"/>
      <c r="L57" s="133">
        <v>26</v>
      </c>
      <c r="M57" s="284"/>
      <c r="N57" s="295"/>
      <c r="O57" s="295"/>
      <c r="P57" s="295"/>
      <c r="Q57" s="285"/>
      <c r="R57" s="92"/>
      <c r="S57" s="92"/>
      <c r="T57" s="106"/>
      <c r="U57" s="18"/>
      <c r="V57" s="83"/>
      <c r="W57" s="310"/>
      <c r="X57" s="311"/>
      <c r="Y57" s="311"/>
      <c r="Z57" s="311"/>
      <c r="AA57" s="312"/>
      <c r="AB57" s="84"/>
      <c r="AC57" s="19"/>
    </row>
    <row r="58" spans="1:29">
      <c r="K58" s="17"/>
      <c r="L58" s="104"/>
      <c r="M58" s="92"/>
      <c r="N58" s="92"/>
      <c r="O58" s="92"/>
      <c r="P58" s="92"/>
      <c r="Q58" s="92"/>
      <c r="R58" s="92"/>
      <c r="S58" s="92"/>
      <c r="T58" s="106"/>
      <c r="U58" s="18"/>
      <c r="V58" s="83"/>
      <c r="W58" s="313"/>
      <c r="X58" s="314"/>
      <c r="Y58" s="314"/>
      <c r="Z58" s="314"/>
      <c r="AA58" s="315"/>
      <c r="AB58" s="84"/>
      <c r="AC58" s="19"/>
    </row>
    <row r="59" spans="1:29">
      <c r="K59" s="17"/>
      <c r="L59" s="133">
        <v>27</v>
      </c>
      <c r="M59" s="35" t="s">
        <v>3267</v>
      </c>
      <c r="N59" s="92"/>
      <c r="O59" s="92"/>
      <c r="P59" s="284"/>
      <c r="Q59" s="285"/>
      <c r="R59" s="92"/>
      <c r="S59" s="92"/>
      <c r="T59" s="106"/>
      <c r="U59" s="18"/>
      <c r="V59" s="85"/>
      <c r="W59" s="86"/>
      <c r="X59" s="86"/>
      <c r="Y59" s="86"/>
      <c r="Z59" s="86"/>
      <c r="AA59" s="86"/>
      <c r="AB59" s="87"/>
      <c r="AC59" s="19"/>
    </row>
    <row r="60" spans="1:29">
      <c r="K60" s="17"/>
      <c r="L60" s="104"/>
      <c r="M60" s="92"/>
      <c r="N60" s="92"/>
      <c r="O60" s="92"/>
      <c r="P60" s="92"/>
      <c r="Q60" s="92"/>
      <c r="R60" s="92"/>
      <c r="S60" s="92"/>
      <c r="T60" s="106"/>
      <c r="U60" s="18"/>
      <c r="V60" s="32"/>
      <c r="W60" s="32"/>
      <c r="X60" s="32"/>
      <c r="Y60" s="32"/>
      <c r="Z60" s="32"/>
      <c r="AA60" s="32"/>
      <c r="AB60" s="32"/>
      <c r="AC60" s="19"/>
    </row>
    <row r="61" spans="1:29">
      <c r="K61" s="17"/>
      <c r="L61" s="133">
        <v>28</v>
      </c>
      <c r="M61" s="35" t="s">
        <v>3268</v>
      </c>
      <c r="N61" s="92"/>
      <c r="O61" s="92"/>
      <c r="P61" s="287">
        <v>5145555555</v>
      </c>
      <c r="Q61" s="288"/>
      <c r="R61" s="92"/>
      <c r="S61" s="92"/>
      <c r="T61" s="106"/>
      <c r="U61" s="18"/>
      <c r="V61" s="32"/>
      <c r="W61" s="32"/>
      <c r="X61" s="32"/>
      <c r="Y61" s="32"/>
      <c r="Z61" s="32"/>
      <c r="AA61" s="32"/>
      <c r="AB61" s="32"/>
      <c r="AC61" s="19"/>
    </row>
    <row r="62" spans="1:29">
      <c r="K62" s="17"/>
      <c r="L62" s="104"/>
      <c r="M62" s="92"/>
      <c r="N62" s="92"/>
      <c r="O62" s="92"/>
      <c r="P62" s="92"/>
      <c r="Q62" s="92"/>
      <c r="R62" s="92"/>
      <c r="S62" s="92"/>
      <c r="T62" s="106"/>
      <c r="U62" s="18"/>
      <c r="V62" s="32"/>
      <c r="W62" s="32"/>
      <c r="X62" s="32"/>
      <c r="Y62" s="32"/>
      <c r="Z62" s="32"/>
      <c r="AA62" s="32"/>
      <c r="AB62" s="32"/>
      <c r="AC62" s="19"/>
    </row>
    <row r="63" spans="1:29">
      <c r="K63" s="17"/>
      <c r="L63" s="133">
        <v>29</v>
      </c>
      <c r="M63" s="35" t="s">
        <v>3269</v>
      </c>
      <c r="N63" s="92"/>
      <c r="O63" s="92"/>
      <c r="P63" s="289"/>
      <c r="Q63" s="290"/>
      <c r="R63" s="35"/>
      <c r="S63" s="35"/>
      <c r="T63" s="106"/>
      <c r="U63" s="18"/>
      <c r="V63" s="32"/>
      <c r="W63" s="32"/>
      <c r="X63" s="32"/>
      <c r="Y63" s="32"/>
      <c r="Z63" s="32"/>
      <c r="AA63" s="32"/>
      <c r="AB63" s="32"/>
      <c r="AC63" s="19"/>
    </row>
    <row r="64" spans="1:29">
      <c r="K64" s="17"/>
      <c r="L64" s="104"/>
      <c r="M64" s="35"/>
      <c r="N64" s="92"/>
      <c r="O64" s="92"/>
      <c r="P64" s="93"/>
      <c r="Q64" s="93"/>
      <c r="R64" s="35"/>
      <c r="S64" s="35"/>
      <c r="T64" s="106"/>
      <c r="U64" s="18"/>
      <c r="V64" s="32"/>
      <c r="W64" s="32"/>
      <c r="X64" s="32"/>
      <c r="Y64" s="32"/>
      <c r="Z64" s="32"/>
      <c r="AA64" s="32"/>
      <c r="AB64" s="32"/>
      <c r="AC64" s="19"/>
    </row>
    <row r="65" spans="11:29">
      <c r="K65" s="17"/>
      <c r="L65" s="136">
        <v>30</v>
      </c>
      <c r="M65" s="107" t="s">
        <v>3270</v>
      </c>
      <c r="N65" s="108"/>
      <c r="O65" s="108"/>
      <c r="P65" s="291"/>
      <c r="Q65" s="292"/>
      <c r="R65" s="107"/>
      <c r="S65" s="107"/>
      <c r="T65" s="109"/>
      <c r="U65" s="18"/>
      <c r="V65" s="32"/>
      <c r="W65" s="32"/>
      <c r="X65" s="32"/>
      <c r="Y65" s="32"/>
      <c r="Z65" s="32"/>
      <c r="AA65" s="32"/>
      <c r="AB65" s="32"/>
      <c r="AC65" s="19"/>
    </row>
    <row r="66" spans="11:29" ht="15.75" thickBot="1">
      <c r="K66" s="20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2"/>
    </row>
  </sheetData>
  <mergeCells count="37">
    <mergeCell ref="X4:Y4"/>
    <mergeCell ref="X6:Y6"/>
    <mergeCell ref="X8:Y8"/>
    <mergeCell ref="X10:Y10"/>
    <mergeCell ref="P59:Q59"/>
    <mergeCell ref="V19:AB19"/>
    <mergeCell ref="W50:AA50"/>
    <mergeCell ref="W56:AA58"/>
    <mergeCell ref="Z52:AA52"/>
    <mergeCell ref="Z54:AA54"/>
    <mergeCell ref="Y46:Z46"/>
    <mergeCell ref="P61:Q61"/>
    <mergeCell ref="P63:Q63"/>
    <mergeCell ref="P65:Q65"/>
    <mergeCell ref="O17:S17"/>
    <mergeCell ref="M48:S48"/>
    <mergeCell ref="M22:S22"/>
    <mergeCell ref="M53:N53"/>
    <mergeCell ref="P53:Q53"/>
    <mergeCell ref="M57:Q57"/>
    <mergeCell ref="L43:T43"/>
    <mergeCell ref="Q45:R45"/>
    <mergeCell ref="P37:Q37"/>
    <mergeCell ref="P35:Q35"/>
    <mergeCell ref="P31:Q31"/>
    <mergeCell ref="M41:S41"/>
    <mergeCell ref="M12:N12"/>
    <mergeCell ref="M3:O3"/>
    <mergeCell ref="P33:Q33"/>
    <mergeCell ref="M29:Q29"/>
    <mergeCell ref="M24:N24"/>
    <mergeCell ref="P24:Q24"/>
    <mergeCell ref="P26:Q26"/>
    <mergeCell ref="M4:S7"/>
    <mergeCell ref="M10:N10"/>
    <mergeCell ref="R15:S15"/>
    <mergeCell ref="N19:R19"/>
  </mergeCells>
  <dataValidations count="9">
    <dataValidation type="list" allowBlank="1" showInputMessage="1" showErrorMessage="1" prompt="the same company code_x000a_" sqref="M10" xr:uid="{00000000-0002-0000-0D00-000000000000}">
      <formula1>MatirialType_list</formula1>
    </dataValidation>
    <dataValidation type="list" showInputMessage="1" showErrorMessage="1" sqref="M24:N24 M53:N53" xr:uid="{00000000-0002-0000-0D00-000001000000}">
      <formula1>CantryList</formula1>
    </dataValidation>
    <dataValidation type="list" allowBlank="1" showInputMessage="1" showErrorMessage="1" sqref="P24:Q24 P53:Q53" xr:uid="{00000000-0002-0000-0D00-000002000000}">
      <formula1>IF($M$24="US",StateList,ProvinceList)</formula1>
    </dataValidation>
    <dataValidation allowBlank="1" showInputMessage="1" showErrorMessage="1" prompt="the same company code_x000a_" sqref="O10:S10" xr:uid="{00000000-0002-0000-0D00-000003000000}"/>
    <dataValidation type="list" allowBlank="1" showInputMessage="1" showErrorMessage="1" sqref="S12 M15" xr:uid="{00000000-0002-0000-0D00-000004000000}">
      <formula1>"Yes,No"</formula1>
    </dataValidation>
    <dataValidation type="list" allowBlank="1" showInputMessage="1" showErrorMessage="1" sqref="M12:N12" xr:uid="{00000000-0002-0000-0D00-000005000000}">
      <formula1>"Loco, Car"</formula1>
    </dataValidation>
    <dataValidation type="list" allowBlank="1" showInputMessage="1" showErrorMessage="1" sqref="S50" xr:uid="{00000000-0002-0000-0D00-000006000000}">
      <formula1>"Yes, No"</formula1>
    </dataValidation>
    <dataValidation type="custom" allowBlank="1" showInputMessage="1" showErrorMessage="1" error="UPPER CASE CHARACTERS  and  &lt;2000  " sqref="M4" xr:uid="{00000000-0002-0000-0D00-000007000000}">
      <formula1>$E$2</formula1>
    </dataValidation>
    <dataValidation type="list" allowBlank="1" showInputMessage="1" showErrorMessage="1" sqref="Y46:Z46" xr:uid="{00000000-0002-0000-0D00-000008000000}">
      <formula1>"in  Process, Approved, Denied"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9000000}">
          <x14:formula1>
            <xm:f>'MD State'!$I$11:$I$18</xm:f>
          </x14:formula1>
          <xm:sqref>P26:Q26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D1:AA146"/>
  <sheetViews>
    <sheetView topLeftCell="B1" workbookViewId="0">
      <selection activeCell="E15" sqref="E15:L15"/>
    </sheetView>
  </sheetViews>
  <sheetFormatPr defaultColWidth="8.85546875" defaultRowHeight="15" zeroHeight="1"/>
  <cols>
    <col min="1" max="1" width="6.7109375" style="32" customWidth="1"/>
    <col min="2" max="2" width="5.42578125" style="32" customWidth="1"/>
    <col min="3" max="3" width="4.85546875" style="32" customWidth="1"/>
    <col min="4" max="7" width="8.85546875" style="32"/>
    <col min="8" max="8" width="10.5703125" style="32" bestFit="1" customWidth="1"/>
    <col min="9" max="9" width="8.85546875" style="32"/>
    <col min="10" max="10" width="5.7109375" style="32" customWidth="1"/>
    <col min="11" max="11" width="8.140625" style="32" customWidth="1"/>
    <col min="12" max="12" width="8.7109375" style="32" customWidth="1"/>
    <col min="13" max="13" width="13.7109375" style="32" customWidth="1"/>
    <col min="14" max="14" width="10.85546875" style="32" customWidth="1"/>
    <col min="15" max="15" width="8.85546875" style="32" customWidth="1"/>
    <col min="16" max="16" width="15.28515625" style="32" customWidth="1"/>
    <col min="17" max="17" width="11.85546875" style="32" customWidth="1"/>
    <col min="18" max="18" width="10.28515625" style="32" customWidth="1"/>
    <col min="19" max="19" width="8.85546875" style="32" customWidth="1"/>
    <col min="20" max="20" width="5.7109375" hidden="1" customWidth="1"/>
    <col min="21" max="21" width="16.7109375" hidden="1" customWidth="1"/>
    <col min="22" max="22" width="12" hidden="1" customWidth="1"/>
    <col min="23" max="24" width="11.7109375" hidden="1" customWidth="1"/>
    <col min="25" max="25" width="11.28515625" hidden="1" customWidth="1"/>
    <col min="26" max="27" width="0" style="32" hidden="1" customWidth="1"/>
    <col min="28" max="16384" width="8.85546875" style="32"/>
  </cols>
  <sheetData>
    <row r="1" spans="4:27" ht="15" customHeight="1" thickBot="1"/>
    <row r="2" spans="4:27" ht="18" customHeight="1">
      <c r="D2" s="247" t="s">
        <v>3437</v>
      </c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9"/>
      <c r="P2" s="249"/>
      <c r="Q2" s="249"/>
      <c r="R2" s="250"/>
      <c r="S2" s="255"/>
    </row>
    <row r="3" spans="4:27" ht="15" customHeight="1" thickBot="1">
      <c r="D3" s="208"/>
      <c r="E3" s="209"/>
      <c r="F3" s="209"/>
      <c r="G3" s="209"/>
      <c r="H3" s="209"/>
      <c r="I3" s="209"/>
      <c r="J3" s="209"/>
      <c r="K3" s="209"/>
      <c r="L3" s="242"/>
      <c r="M3" s="209"/>
      <c r="N3" s="209"/>
      <c r="O3" s="241"/>
      <c r="P3" s="241"/>
      <c r="Q3" s="241"/>
      <c r="R3" s="242"/>
      <c r="S3" s="256"/>
    </row>
    <row r="4" spans="4:27" ht="27">
      <c r="D4" s="208"/>
      <c r="E4" s="209"/>
      <c r="F4" s="209"/>
      <c r="G4" s="209"/>
      <c r="H4" s="242"/>
      <c r="I4" s="212"/>
      <c r="J4" s="212"/>
      <c r="K4" s="211" t="s">
        <v>3358</v>
      </c>
      <c r="L4" s="242"/>
      <c r="M4" s="212"/>
      <c r="N4" s="212"/>
      <c r="O4" s="243"/>
      <c r="P4" s="243"/>
      <c r="Q4" s="241"/>
      <c r="R4" s="242"/>
      <c r="S4" s="256"/>
      <c r="T4" s="246" t="s">
        <v>3360</v>
      </c>
      <c r="V4" t="s">
        <v>3372</v>
      </c>
    </row>
    <row r="5" spans="4:27">
      <c r="D5" s="208"/>
      <c r="E5" s="209"/>
      <c r="F5" s="209"/>
      <c r="G5" s="209"/>
      <c r="H5" s="242"/>
      <c r="I5" s="215"/>
      <c r="J5" s="215"/>
      <c r="K5" s="214" t="s">
        <v>3359</v>
      </c>
      <c r="L5" s="242"/>
      <c r="M5" s="215"/>
      <c r="N5" s="215"/>
      <c r="O5" s="244"/>
      <c r="P5" s="244"/>
      <c r="Q5" s="241"/>
      <c r="R5" s="242"/>
      <c r="S5" s="256"/>
    </row>
    <row r="6" spans="4:27">
      <c r="D6" s="208"/>
      <c r="E6" s="209"/>
      <c r="F6" s="209"/>
      <c r="G6" s="209"/>
      <c r="H6" s="217"/>
      <c r="I6" s="217"/>
      <c r="J6" s="217"/>
      <c r="K6" s="217"/>
      <c r="L6" s="217"/>
      <c r="M6" s="217"/>
      <c r="N6" s="217"/>
      <c r="O6" s="245"/>
      <c r="P6" s="245"/>
      <c r="Q6" s="241"/>
      <c r="R6" s="242"/>
      <c r="S6" s="256"/>
      <c r="T6" s="177" t="s">
        <v>3365</v>
      </c>
      <c r="U6" s="177" t="s">
        <v>3364</v>
      </c>
      <c r="V6" s="177" t="s">
        <v>3361</v>
      </c>
      <c r="W6" s="177" t="s">
        <v>3362</v>
      </c>
      <c r="X6" s="177" t="s">
        <v>3385</v>
      </c>
      <c r="Y6" s="177" t="s">
        <v>3363</v>
      </c>
      <c r="Z6" s="18"/>
      <c r="AA6" s="18"/>
    </row>
    <row r="7" spans="4:27">
      <c r="D7" s="168"/>
      <c r="E7" s="169"/>
      <c r="F7" s="169"/>
      <c r="G7" s="169"/>
      <c r="H7" s="171"/>
      <c r="I7" s="171"/>
      <c r="J7" s="171"/>
      <c r="K7" s="171"/>
      <c r="L7" s="171"/>
      <c r="M7" s="171"/>
      <c r="N7" s="171"/>
      <c r="O7" s="171"/>
      <c r="P7" s="171"/>
      <c r="Q7" s="169"/>
      <c r="R7" s="18"/>
      <c r="S7" s="19"/>
      <c r="T7" s="156"/>
      <c r="U7" s="28" t="s">
        <v>3188</v>
      </c>
      <c r="V7" s="28" t="s">
        <v>3349</v>
      </c>
      <c r="W7" s="27" t="s">
        <v>3240</v>
      </c>
      <c r="X7" s="27"/>
    </row>
    <row r="8" spans="4:27" ht="22.15" customHeight="1">
      <c r="D8" s="16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9"/>
      <c r="T8" s="156">
        <v>1</v>
      </c>
      <c r="U8" s="28" t="s">
        <v>3189</v>
      </c>
      <c r="V8" s="28" t="s">
        <v>3178</v>
      </c>
      <c r="W8" s="27" t="s">
        <v>3221</v>
      </c>
      <c r="X8" s="27"/>
      <c r="Z8" s="18"/>
      <c r="AA8" s="18"/>
    </row>
    <row r="9" spans="4:27" ht="22.15" customHeight="1">
      <c r="D9" s="168"/>
      <c r="E9" s="251" t="s">
        <v>3433</v>
      </c>
      <c r="F9" s="169"/>
      <c r="G9" s="164"/>
      <c r="H9" s="322"/>
      <c r="I9" s="323"/>
      <c r="J9" s="323"/>
      <c r="K9" s="324"/>
      <c r="L9" s="171"/>
      <c r="M9" s="173" t="s">
        <v>3366</v>
      </c>
      <c r="N9" s="18"/>
      <c r="O9" s="319"/>
      <c r="P9" s="320"/>
      <c r="Q9" s="321"/>
      <c r="R9" s="18"/>
      <c r="S9" s="19"/>
      <c r="T9" s="156"/>
      <c r="U9" s="28" t="s">
        <v>3239</v>
      </c>
      <c r="V9" s="28" t="s">
        <v>3350</v>
      </c>
      <c r="W9" s="27" t="s">
        <v>3275</v>
      </c>
      <c r="X9" s="27"/>
    </row>
    <row r="10" spans="4:27" ht="22.15" customHeight="1">
      <c r="D10" s="168"/>
      <c r="E10" s="169"/>
      <c r="F10" s="169"/>
      <c r="G10" s="169"/>
      <c r="H10" s="171"/>
      <c r="I10" s="171"/>
      <c r="J10" s="171"/>
      <c r="K10" s="171"/>
      <c r="L10" s="171"/>
      <c r="M10" s="18"/>
      <c r="N10" s="18"/>
      <c r="O10" s="18"/>
      <c r="P10" s="18"/>
      <c r="Q10" s="18"/>
      <c r="R10" s="18"/>
      <c r="S10" s="19"/>
      <c r="T10" s="156">
        <v>2</v>
      </c>
      <c r="U10" s="30" t="s">
        <v>3261</v>
      </c>
      <c r="V10" s="30" t="s">
        <v>3373</v>
      </c>
      <c r="W10" s="27" t="s">
        <v>3274</v>
      </c>
      <c r="X10" s="27"/>
    </row>
    <row r="11" spans="4:27" ht="22.15" customHeight="1">
      <c r="D11" s="168"/>
      <c r="E11" s="252" t="s">
        <v>3446</v>
      </c>
      <c r="F11" s="169"/>
      <c r="G11" s="169"/>
      <c r="H11" s="328">
        <f ca="1">TODAY()</f>
        <v>44046</v>
      </c>
      <c r="I11" s="329"/>
      <c r="J11" s="329"/>
      <c r="K11" s="330"/>
      <c r="L11" s="331" t="s">
        <v>3367</v>
      </c>
      <c r="M11" s="332"/>
      <c r="N11" s="333"/>
      <c r="O11" s="325">
        <f ca="1">H11+10</f>
        <v>44056</v>
      </c>
      <c r="P11" s="326"/>
      <c r="Q11" s="327"/>
      <c r="R11" s="18"/>
      <c r="S11" s="19"/>
      <c r="T11" s="156">
        <v>3</v>
      </c>
      <c r="U11" s="29" t="s">
        <v>3295</v>
      </c>
      <c r="V11" s="29" t="s">
        <v>3368</v>
      </c>
      <c r="W11" s="29" t="s">
        <v>3221</v>
      </c>
      <c r="X11" s="27"/>
      <c r="Y11" t="s">
        <v>3296</v>
      </c>
    </row>
    <row r="12" spans="4:27" ht="22.9" customHeight="1">
      <c r="D12" s="16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9"/>
      <c r="T12" s="156">
        <v>4</v>
      </c>
      <c r="U12" s="151" t="s">
        <v>3298</v>
      </c>
      <c r="V12" s="151" t="s">
        <v>3374</v>
      </c>
      <c r="W12" s="27" t="s">
        <v>3221</v>
      </c>
      <c r="X12" s="27"/>
      <c r="Y12" t="s">
        <v>3299</v>
      </c>
    </row>
    <row r="13" spans="4:27" ht="21.6" customHeight="1">
      <c r="D13" s="16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9"/>
      <c r="T13" s="156">
        <v>5</v>
      </c>
      <c r="U13" s="29" t="s">
        <v>3300</v>
      </c>
      <c r="V13" s="29" t="s">
        <v>3375</v>
      </c>
      <c r="W13" s="27" t="s">
        <v>3224</v>
      </c>
      <c r="X13" s="153" t="s">
        <v>3339</v>
      </c>
      <c r="Y13" t="s">
        <v>3378</v>
      </c>
    </row>
    <row r="14" spans="4:27" ht="19.899999999999999" customHeight="1">
      <c r="D14" s="168"/>
      <c r="E14" s="173" t="s">
        <v>3431</v>
      </c>
      <c r="F14" s="169"/>
      <c r="G14" s="169"/>
      <c r="H14" s="169"/>
      <c r="I14" s="18"/>
      <c r="J14" s="169"/>
      <c r="K14" s="169"/>
      <c r="L14" s="169"/>
      <c r="M14" s="169"/>
      <c r="N14" s="257" t="s">
        <v>3448</v>
      </c>
      <c r="O14" s="169"/>
      <c r="P14" s="169"/>
      <c r="Q14" s="169"/>
      <c r="R14" s="169"/>
      <c r="S14" s="19"/>
      <c r="T14" s="156">
        <v>6</v>
      </c>
      <c r="U14" s="29" t="s">
        <v>3301</v>
      </c>
      <c r="V14" s="29" t="s">
        <v>3376</v>
      </c>
      <c r="W14" s="31" t="s">
        <v>3221</v>
      </c>
      <c r="X14" s="27"/>
      <c r="Y14" t="s">
        <v>3302</v>
      </c>
    </row>
    <row r="15" spans="4:27" ht="18.600000000000001" customHeight="1">
      <c r="D15" s="168"/>
      <c r="E15" s="322"/>
      <c r="F15" s="323"/>
      <c r="G15" s="323"/>
      <c r="H15" s="323"/>
      <c r="I15" s="323"/>
      <c r="J15" s="323"/>
      <c r="K15" s="323"/>
      <c r="L15" s="324"/>
      <c r="M15" s="164"/>
      <c r="N15" s="322"/>
      <c r="O15" s="323"/>
      <c r="P15" s="323"/>
      <c r="Q15" s="323"/>
      <c r="R15" s="324"/>
      <c r="S15" s="19"/>
      <c r="T15" s="156">
        <v>7</v>
      </c>
      <c r="U15" s="30" t="s">
        <v>3303</v>
      </c>
      <c r="V15" s="29" t="s">
        <v>3351</v>
      </c>
      <c r="W15" s="27" t="s">
        <v>3224</v>
      </c>
      <c r="X15" s="154" t="s">
        <v>3304</v>
      </c>
      <c r="Y15" t="s">
        <v>3377</v>
      </c>
    </row>
    <row r="16" spans="4:27" ht="18.600000000000001" customHeight="1">
      <c r="D16" s="168"/>
      <c r="E16" s="175" t="s">
        <v>3296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9"/>
      <c r="T16" s="156">
        <v>8</v>
      </c>
      <c r="U16" s="30" t="s">
        <v>3305</v>
      </c>
      <c r="V16" s="29" t="s">
        <v>3380</v>
      </c>
      <c r="W16" s="27" t="s">
        <v>3224</v>
      </c>
      <c r="X16" s="154" t="s">
        <v>3105</v>
      </c>
      <c r="Y16" t="s">
        <v>3379</v>
      </c>
    </row>
    <row r="17" spans="4:24" ht="18.600000000000001" customHeight="1">
      <c r="D17" s="168"/>
      <c r="E17" s="175" t="s">
        <v>3297</v>
      </c>
      <c r="F17" s="169"/>
      <c r="G17" s="169"/>
      <c r="H17" s="169"/>
      <c r="I17" s="169"/>
      <c r="J17" s="169"/>
      <c r="K17" s="169"/>
      <c r="L17" s="169"/>
      <c r="M17" s="169"/>
      <c r="N17" s="228" t="s">
        <v>3301</v>
      </c>
      <c r="O17" s="169"/>
      <c r="P17" s="169"/>
      <c r="Q17" s="169"/>
      <c r="R17" s="169"/>
      <c r="S17" s="19"/>
      <c r="T17" s="156">
        <v>9</v>
      </c>
      <c r="U17" s="151" t="s">
        <v>3306</v>
      </c>
      <c r="V17" s="151" t="s">
        <v>3381</v>
      </c>
      <c r="W17" s="27" t="s">
        <v>3221</v>
      </c>
      <c r="X17" s="27"/>
    </row>
    <row r="18" spans="4:24" ht="18.600000000000001" customHeight="1">
      <c r="D18" s="168"/>
      <c r="E18" s="169"/>
      <c r="F18" s="169"/>
      <c r="G18" s="169"/>
      <c r="H18" s="169"/>
      <c r="I18" s="169"/>
      <c r="J18" s="169"/>
      <c r="K18" s="169"/>
      <c r="L18" s="169"/>
      <c r="M18" s="169"/>
      <c r="N18" s="322"/>
      <c r="O18" s="323"/>
      <c r="P18" s="323"/>
      <c r="Q18" s="323"/>
      <c r="R18" s="324"/>
      <c r="S18" s="19"/>
    </row>
    <row r="19" spans="4:24" ht="18.600000000000001" customHeight="1">
      <c r="D19" s="168"/>
      <c r="E19" s="173" t="s">
        <v>3432</v>
      </c>
      <c r="F19" s="169"/>
      <c r="G19" s="169"/>
      <c r="H19" s="169"/>
      <c r="I19" s="169"/>
      <c r="J19" s="169"/>
      <c r="K19" s="169"/>
      <c r="L19" s="169"/>
      <c r="M19" s="169"/>
      <c r="N19" s="175" t="s">
        <v>3302</v>
      </c>
      <c r="O19" s="169"/>
      <c r="P19" s="169"/>
      <c r="Q19" s="169"/>
      <c r="R19" s="169"/>
      <c r="S19" s="19"/>
    </row>
    <row r="20" spans="4:24" ht="18.600000000000001" customHeight="1">
      <c r="D20" s="168"/>
      <c r="E20" s="334"/>
      <c r="F20" s="335"/>
      <c r="G20" s="335"/>
      <c r="H20" s="335"/>
      <c r="I20" s="335"/>
      <c r="J20" s="335"/>
      <c r="K20" s="335"/>
      <c r="L20" s="336"/>
      <c r="M20" s="163"/>
      <c r="N20" s="18"/>
      <c r="O20" s="18"/>
      <c r="P20" s="18"/>
      <c r="Q20" s="18"/>
      <c r="R20" s="18"/>
      <c r="S20" s="19"/>
      <c r="U20" t="s">
        <v>3382</v>
      </c>
    </row>
    <row r="21" spans="4:24" ht="18.600000000000001" customHeight="1">
      <c r="D21" s="168"/>
      <c r="E21" s="337"/>
      <c r="F21" s="338"/>
      <c r="G21" s="338"/>
      <c r="H21" s="338"/>
      <c r="I21" s="338"/>
      <c r="J21" s="338"/>
      <c r="K21" s="338"/>
      <c r="L21" s="339"/>
      <c r="M21" s="163"/>
      <c r="N21" s="257" t="s">
        <v>3449</v>
      </c>
      <c r="O21" s="169"/>
      <c r="P21" s="169"/>
      <c r="Q21" s="169"/>
      <c r="R21" s="169"/>
      <c r="S21" s="19"/>
    </row>
    <row r="22" spans="4:24" ht="18.600000000000001" customHeight="1">
      <c r="D22" s="168"/>
      <c r="E22" s="337"/>
      <c r="F22" s="338"/>
      <c r="G22" s="338"/>
      <c r="H22" s="338"/>
      <c r="I22" s="338"/>
      <c r="J22" s="338"/>
      <c r="K22" s="338"/>
      <c r="L22" s="339"/>
      <c r="M22" s="163"/>
      <c r="N22" s="319"/>
      <c r="O22" s="320"/>
      <c r="P22" s="320"/>
      <c r="Q22" s="320"/>
      <c r="R22" s="321"/>
      <c r="S22" s="19"/>
      <c r="U22" t="s">
        <v>3430</v>
      </c>
      <c r="V22" s="18"/>
      <c r="W22" s="18" t="s">
        <v>3435</v>
      </c>
      <c r="X22" s="18" t="s">
        <v>3436</v>
      </c>
    </row>
    <row r="23" spans="4:24" ht="18.600000000000001" customHeight="1">
      <c r="D23" s="168"/>
      <c r="E23" s="337"/>
      <c r="F23" s="338"/>
      <c r="G23" s="338"/>
      <c r="H23" s="338"/>
      <c r="I23" s="338"/>
      <c r="J23" s="338"/>
      <c r="K23" s="338"/>
      <c r="L23" s="339"/>
      <c r="M23" s="163"/>
      <c r="N23" s="169"/>
      <c r="O23" s="169"/>
      <c r="P23" s="169"/>
      <c r="Q23" s="169"/>
      <c r="R23" s="169"/>
      <c r="S23" s="19"/>
      <c r="T23">
        <v>1</v>
      </c>
      <c r="U23" t="b">
        <f>AND(LEN(H9)&gt;0)</f>
        <v>0</v>
      </c>
      <c r="V23" s="18" t="b">
        <f ca="1">AND(NOT(U23),$X$23)</f>
        <v>1</v>
      </c>
      <c r="W23" s="18">
        <f ca="1">COUNTIF(U23:U33,FALSE)</f>
        <v>8</v>
      </c>
      <c r="X23" s="57">
        <f ca="1">IF(W23&gt;0,1,0)</f>
        <v>1</v>
      </c>
    </row>
    <row r="24" spans="4:24" ht="18.600000000000001" customHeight="1">
      <c r="D24" s="168"/>
      <c r="E24" s="340"/>
      <c r="F24" s="341"/>
      <c r="G24" s="341"/>
      <c r="H24" s="341"/>
      <c r="I24" s="341"/>
      <c r="J24" s="341"/>
      <c r="K24" s="341"/>
      <c r="L24" s="342"/>
      <c r="M24" s="163"/>
      <c r="N24" s="257" t="s">
        <v>3450</v>
      </c>
      <c r="O24" s="169"/>
      <c r="P24" s="169"/>
      <c r="Q24" s="169"/>
      <c r="R24" s="169"/>
      <c r="S24" s="19"/>
      <c r="T24">
        <v>2</v>
      </c>
      <c r="U24" t="b">
        <f>AND(LEN(O9)&gt;0)</f>
        <v>0</v>
      </c>
      <c r="V24" s="18" t="b">
        <f ca="1">AND(NOT(U26),$X$23)</f>
        <v>0</v>
      </c>
      <c r="W24" s="18"/>
      <c r="X24" s="18"/>
    </row>
    <row r="25" spans="4:24" ht="18.600000000000001" customHeight="1">
      <c r="D25" s="168"/>
      <c r="E25" s="175" t="s">
        <v>3299</v>
      </c>
      <c r="F25" s="169"/>
      <c r="G25" s="169"/>
      <c r="H25" s="169"/>
      <c r="I25" s="169"/>
      <c r="J25" s="169"/>
      <c r="K25" s="169"/>
      <c r="L25" s="169"/>
      <c r="M25" s="169"/>
      <c r="N25" s="322"/>
      <c r="O25" s="323"/>
      <c r="P25" s="323"/>
      <c r="Q25" s="323"/>
      <c r="R25" s="324"/>
      <c r="S25" s="19"/>
      <c r="T25">
        <v>3</v>
      </c>
      <c r="V25" s="18" t="b">
        <f ca="1">AND(NOT(U27),$X$23)</f>
        <v>1</v>
      </c>
      <c r="W25" s="18"/>
      <c r="X25" s="18"/>
    </row>
    <row r="26" spans="4:24" ht="16.149999999999999" customHeight="1">
      <c r="D26" s="168"/>
      <c r="E26" s="169"/>
      <c r="F26" s="169"/>
      <c r="G26" s="169"/>
      <c r="H26" s="169"/>
      <c r="I26" s="169"/>
      <c r="J26" s="169"/>
      <c r="K26" s="169"/>
      <c r="L26" s="169"/>
      <c r="M26" s="169"/>
      <c r="N26" s="18"/>
      <c r="O26" s="18"/>
      <c r="P26" s="18"/>
      <c r="Q26" s="18"/>
      <c r="R26" s="18"/>
      <c r="S26" s="19"/>
      <c r="T26">
        <v>4</v>
      </c>
      <c r="U26" t="b">
        <f ca="1">AND(O11&gt;(TODAY()+3))</f>
        <v>1</v>
      </c>
      <c r="V26" s="18" t="b">
        <f ca="1">AND(NOT(U28),$X$23)</f>
        <v>1</v>
      </c>
      <c r="W26" s="18"/>
      <c r="X26" s="18"/>
    </row>
    <row r="27" spans="4:24" ht="16.899999999999999" customHeight="1">
      <c r="D27" s="168"/>
      <c r="E27" s="169"/>
      <c r="F27" s="169"/>
      <c r="G27" s="169"/>
      <c r="H27" s="169"/>
      <c r="I27" s="169"/>
      <c r="J27" s="169"/>
      <c r="K27" s="169"/>
      <c r="L27" s="169"/>
      <c r="M27" s="169"/>
      <c r="N27" s="162" t="s">
        <v>3306</v>
      </c>
      <c r="O27" s="18"/>
      <c r="P27" s="18"/>
      <c r="Q27" s="18"/>
      <c r="R27" s="18"/>
      <c r="S27" s="19"/>
      <c r="T27">
        <v>5</v>
      </c>
      <c r="U27" t="b">
        <f>AND(LEN(E15)&gt;0,LEN(E15)&lt;40,EXACT(UPPER(E15),E15))</f>
        <v>0</v>
      </c>
      <c r="V27" s="18" t="b">
        <f ca="1">AND(NOT(U29),$X$23)</f>
        <v>1</v>
      </c>
      <c r="W27" s="18"/>
      <c r="X27" s="18"/>
    </row>
    <row r="28" spans="4:24" ht="18" customHeight="1">
      <c r="D28" s="168"/>
      <c r="E28" s="18"/>
      <c r="F28" s="18"/>
      <c r="G28" s="18"/>
      <c r="H28" s="18"/>
      <c r="I28" s="18"/>
      <c r="J28" s="169"/>
      <c r="K28" s="18"/>
      <c r="L28" s="18"/>
      <c r="M28" s="18"/>
      <c r="N28" s="319"/>
      <c r="O28" s="320"/>
      <c r="P28" s="320"/>
      <c r="Q28" s="320"/>
      <c r="R28" s="321"/>
      <c r="S28" s="19"/>
      <c r="T28">
        <v>6</v>
      </c>
      <c r="U28" t="b">
        <f>AND(LEN(E20)&gt;0,LEN(E20)&lt;2000,EXACT(UPPER(E20),E20))</f>
        <v>0</v>
      </c>
      <c r="V28" s="18"/>
      <c r="W28" s="32"/>
      <c r="X28" s="18"/>
    </row>
    <row r="29" spans="4:24">
      <c r="D29" s="168"/>
      <c r="E29" s="18"/>
      <c r="F29" s="18"/>
      <c r="G29" s="18"/>
      <c r="H29" s="18"/>
      <c r="I29" s="18"/>
      <c r="J29" s="169"/>
      <c r="K29" s="18"/>
      <c r="L29" s="18"/>
      <c r="M29" s="18"/>
      <c r="N29" s="18"/>
      <c r="O29" s="18"/>
      <c r="P29" s="18"/>
      <c r="Q29" s="18"/>
      <c r="R29" s="18"/>
      <c r="S29" s="19"/>
      <c r="T29">
        <v>7</v>
      </c>
      <c r="U29" t="b">
        <f>AND(LEN(N15)&gt;0)</f>
        <v>0</v>
      </c>
      <c r="V29" s="18" t="b">
        <f ca="1">AND(NOT(U31),$X$23)</f>
        <v>1</v>
      </c>
      <c r="W29" s="32"/>
      <c r="X29" s="18"/>
    </row>
    <row r="30" spans="4:24" ht="16.899999999999999" customHeight="1">
      <c r="D30" s="168"/>
      <c r="E30" s="18"/>
      <c r="F30" s="18"/>
      <c r="G30" s="18"/>
      <c r="H30" s="18"/>
      <c r="I30" s="18"/>
      <c r="J30" s="169"/>
      <c r="K30" s="169"/>
      <c r="L30" s="18"/>
      <c r="M30" s="18"/>
      <c r="N30" s="18"/>
      <c r="O30" s="18"/>
      <c r="P30" s="18"/>
      <c r="Q30" s="18"/>
      <c r="R30" s="18"/>
      <c r="S30" s="19"/>
      <c r="T30">
        <v>8</v>
      </c>
      <c r="V30" s="18" t="b">
        <f ca="1">AND(NOT(U32),$X$23)</f>
        <v>1</v>
      </c>
      <c r="W30" s="32"/>
      <c r="X30" s="18"/>
    </row>
    <row r="31" spans="4:24" ht="17.45" customHeight="1">
      <c r="D31" s="168"/>
      <c r="E31" s="18"/>
      <c r="F31" s="18"/>
      <c r="G31" s="18"/>
      <c r="H31" s="18"/>
      <c r="I31" s="18"/>
      <c r="J31" s="169"/>
      <c r="K31" s="169"/>
      <c r="L31" s="169"/>
      <c r="M31" s="169"/>
      <c r="N31" s="18"/>
      <c r="O31" s="18"/>
      <c r="P31" s="18"/>
      <c r="Q31" s="18"/>
      <c r="R31" s="18"/>
      <c r="S31" s="19"/>
      <c r="T31">
        <v>9</v>
      </c>
      <c r="U31" t="b">
        <f>AND(LEN(N22)&gt;0)</f>
        <v>0</v>
      </c>
      <c r="V31" s="18" t="b">
        <f ca="1">AND(NOT(U33),$X$23)</f>
        <v>1</v>
      </c>
      <c r="W31" s="32"/>
      <c r="X31" s="18"/>
    </row>
    <row r="32" spans="4:24" ht="15.75" thickBot="1">
      <c r="D32" s="253"/>
      <c r="E32" s="21"/>
      <c r="F32" s="21"/>
      <c r="G32" s="21"/>
      <c r="H32" s="21"/>
      <c r="I32" s="21"/>
      <c r="J32" s="254"/>
      <c r="K32" s="254"/>
      <c r="L32" s="254"/>
      <c r="M32" s="254"/>
      <c r="N32" s="21"/>
      <c r="O32" s="21"/>
      <c r="P32" s="21"/>
      <c r="Q32" s="21"/>
      <c r="R32" s="21"/>
      <c r="S32" s="22"/>
      <c r="T32">
        <v>10</v>
      </c>
      <c r="U32" t="b">
        <f>AND(LEN(N25)&gt;0)</f>
        <v>0</v>
      </c>
      <c r="V32" s="18"/>
    </row>
    <row r="33" spans="4:24" ht="20.45" customHeight="1">
      <c r="D33" s="169"/>
      <c r="E33" s="18"/>
      <c r="F33" s="18"/>
      <c r="G33" s="18"/>
      <c r="H33" s="18"/>
      <c r="I33" s="18"/>
      <c r="J33" s="169"/>
      <c r="K33" s="169"/>
      <c r="L33" s="169"/>
      <c r="M33" s="169"/>
      <c r="N33" s="169"/>
      <c r="O33" s="169"/>
      <c r="P33" s="169"/>
      <c r="Q33" s="169"/>
      <c r="R33" s="18"/>
      <c r="S33" s="18"/>
      <c r="T33">
        <v>11</v>
      </c>
      <c r="U33" t="b">
        <f>AND(LEN(O9)&gt;0)</f>
        <v>0</v>
      </c>
      <c r="V33" s="18"/>
    </row>
    <row r="34" spans="4:24" ht="19.149999999999999" customHeight="1"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>
        <v>12</v>
      </c>
      <c r="V34" s="18"/>
      <c r="W34" s="18"/>
      <c r="X34" s="18"/>
    </row>
    <row r="35" spans="4:24"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>
        <v>13</v>
      </c>
      <c r="V35" s="18"/>
      <c r="W35" s="18"/>
      <c r="X35" s="57"/>
    </row>
    <row r="36" spans="4:24"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>
        <v>14</v>
      </c>
      <c r="V36" s="18"/>
    </row>
    <row r="37" spans="4:24" ht="20.45" customHeight="1"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>
        <v>15</v>
      </c>
      <c r="V37" s="18"/>
    </row>
    <row r="38" spans="4:24"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>
        <v>16</v>
      </c>
      <c r="V38" s="18"/>
    </row>
    <row r="39" spans="4:24"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>
        <v>17</v>
      </c>
      <c r="V39" s="18"/>
    </row>
    <row r="40" spans="4:24" ht="18.600000000000001" customHeight="1"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>
        <v>18</v>
      </c>
      <c r="V40" s="18"/>
    </row>
    <row r="41" spans="4:24"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>
        <v>19</v>
      </c>
      <c r="V41" s="18"/>
    </row>
    <row r="42" spans="4:24"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>
        <v>20</v>
      </c>
      <c r="V42" s="18"/>
    </row>
    <row r="43" spans="4:24"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>
        <v>21</v>
      </c>
      <c r="V43" s="18"/>
    </row>
    <row r="44" spans="4:24"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>
        <v>22</v>
      </c>
      <c r="V44" s="18"/>
    </row>
    <row r="45" spans="4:24" ht="17.45" customHeight="1"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>
        <v>23</v>
      </c>
      <c r="V45" s="18"/>
    </row>
    <row r="46" spans="4:24"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>
        <v>24</v>
      </c>
      <c r="V46" s="18"/>
    </row>
    <row r="47" spans="4:24"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>
        <v>25</v>
      </c>
      <c r="V47" s="18"/>
    </row>
    <row r="48" spans="4:24"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>
        <v>26</v>
      </c>
      <c r="V48" s="18"/>
    </row>
    <row r="49" spans="4:22"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>
        <v>27</v>
      </c>
      <c r="V49" s="18"/>
    </row>
    <row r="50" spans="4:22">
      <c r="T50">
        <v>28</v>
      </c>
      <c r="V50" s="18"/>
    </row>
    <row r="51" spans="4:22"/>
    <row r="52" spans="4:22"/>
    <row r="53" spans="4:22"/>
    <row r="54" spans="4:22"/>
    <row r="55" spans="4:22"/>
    <row r="56" spans="4:22"/>
    <row r="57" spans="4:22"/>
    <row r="58" spans="4:22"/>
    <row r="59" spans="4:22"/>
    <row r="60" spans="4:22"/>
    <row r="61" spans="4:22"/>
    <row r="62" spans="4:22"/>
    <row r="63" spans="4:22"/>
    <row r="64" spans="4:22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</sheetData>
  <sheetProtection algorithmName="SHA-512" hashValue="6225uo9d+isnU7zD8uxC9ogOZtJELFsmx4CtlSK0jsV1M8XnxR664gfMH9Fj7vAnX/az9jp3zqOjcUutSlmY+g==" saltValue="UBCPaciOxmOxyqnEAmgPAA==" spinCount="100000" sheet="1" selectLockedCells="1"/>
  <mergeCells count="12">
    <mergeCell ref="N28:R28"/>
    <mergeCell ref="E20:L24"/>
    <mergeCell ref="N15:R15"/>
    <mergeCell ref="E15:L15"/>
    <mergeCell ref="N22:R22"/>
    <mergeCell ref="N25:R25"/>
    <mergeCell ref="N18:R18"/>
    <mergeCell ref="O9:Q9"/>
    <mergeCell ref="H9:K9"/>
    <mergeCell ref="O11:Q11"/>
    <mergeCell ref="H11:K11"/>
    <mergeCell ref="L11:N11"/>
  </mergeCells>
  <conditionalFormatting sqref="H9">
    <cfRule type="expression" dxfId="14" priority="8">
      <formula>$V$23</formula>
    </cfRule>
  </conditionalFormatting>
  <conditionalFormatting sqref="O11">
    <cfRule type="expression" dxfId="13" priority="7">
      <formula>$V$24</formula>
    </cfRule>
  </conditionalFormatting>
  <conditionalFormatting sqref="E15:L15">
    <cfRule type="expression" dxfId="12" priority="6">
      <formula>$V$25</formula>
    </cfRule>
  </conditionalFormatting>
  <conditionalFormatting sqref="E20">
    <cfRule type="expression" dxfId="11" priority="5">
      <formula>$V$26</formula>
    </cfRule>
  </conditionalFormatting>
  <conditionalFormatting sqref="N15:R15">
    <cfRule type="expression" dxfId="10" priority="4">
      <formula>$V$27</formula>
    </cfRule>
  </conditionalFormatting>
  <conditionalFormatting sqref="N22">
    <cfRule type="expression" dxfId="9" priority="3">
      <formula>$V$29</formula>
    </cfRule>
  </conditionalFormatting>
  <conditionalFormatting sqref="N25">
    <cfRule type="expression" dxfId="8" priority="2">
      <formula>$V$30</formula>
    </cfRule>
  </conditionalFormatting>
  <conditionalFormatting sqref="O9">
    <cfRule type="expression" dxfId="7" priority="1">
      <formula>$V$31</formula>
    </cfRule>
  </conditionalFormatting>
  <dataValidations count="8">
    <dataValidation type="custom" allowBlank="1" showInputMessage="1" showErrorMessage="1" error="Max 40 UPPER CASE Character_x000a_ Format : NOUN {space} ADJECTIVE {space} ATTRIBUTE" sqref="J15" xr:uid="{00000000-0002-0000-0E00-000000000000}">
      <formula1>#REF!</formula1>
    </dataValidation>
    <dataValidation type="custom" allowBlank="1" showInputMessage="1" showErrorMessage="1" error="Max 40 UPPER CASE Character_x000a_ Format : NOUN {space} ADJECTIVE {space} ATTRIBUTE" sqref="K15:L15" xr:uid="{00000000-0002-0000-0E00-000001000000}">
      <formula1>#REF!</formula1>
    </dataValidation>
    <dataValidation type="custom" allowBlank="1" showInputMessage="1" showErrorMessage="1" error="Cannot be empty" sqref="H9" xr:uid="{00000000-0002-0000-0E00-000002000000}">
      <formula1>U23</formula1>
    </dataValidation>
    <dataValidation type="custom" allowBlank="1" showInputMessage="1" showErrorMessage="1" error="Max 40 UPPER CASE Character_x000a_ Format : NOUN {space} ADJECTIVE {space} ATTRIBUTE" sqref="F15:I15" xr:uid="{00000000-0002-0000-0E00-000003000000}">
      <formula1>V25</formula1>
    </dataValidation>
    <dataValidation type="custom" allowBlank="1" showInputMessage="1" showErrorMessage="1" error="cannot be erarlier then TODAY + 1 WEEK. _x000a_Date Format: YYYY/MM/DD" sqref="O11" xr:uid="{00000000-0002-0000-0E00-000004000000}">
      <formula1>U26</formula1>
    </dataValidation>
    <dataValidation type="custom" allowBlank="1" showInputMessage="1" showErrorMessage="1" sqref="E20" xr:uid="{00000000-0002-0000-0E00-000005000000}">
      <formula1>$U$28</formula1>
    </dataValidation>
    <dataValidation type="custom" allowBlank="1" showInputMessage="1" showErrorMessage="1" error="Max 40 UPPER CASE Character_x000a_ Format : NOUN {space} ADJECTIVE {space} ATTRIBUTE" sqref="E15" xr:uid="{00000000-0002-0000-0E00-000006000000}">
      <formula1>U27</formula1>
    </dataValidation>
    <dataValidation type="custom" allowBlank="1" showInputMessage="1" showErrorMessage="1" sqref="O9" xr:uid="{00000000-0002-0000-0E00-000007000000}">
      <formula1>$U$33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16</xdr:col>
                <xdr:colOff>0</xdr:colOff>
                <xdr:row>3</xdr:row>
                <xdr:rowOff>38100</xdr:rowOff>
              </from>
              <to>
                <xdr:col>17</xdr:col>
                <xdr:colOff>504825</xdr:colOff>
                <xdr:row>4</xdr:row>
                <xdr:rowOff>123825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7" r:id="rId6" name="CommandButton2">
          <controlPr locked="0" defaultSize="0" autoLine="0" r:id="rId7">
            <anchor moveWithCells="1">
              <from>
                <xdr:col>8</xdr:col>
                <xdr:colOff>0</xdr:colOff>
                <xdr:row>26</xdr:row>
                <xdr:rowOff>66675</xdr:rowOff>
              </from>
              <to>
                <xdr:col>11</xdr:col>
                <xdr:colOff>257175</xdr:colOff>
                <xdr:row>28</xdr:row>
                <xdr:rowOff>85725</xdr:rowOff>
              </to>
            </anchor>
          </controlPr>
        </control>
      </mc:Choice>
      <mc:Fallback>
        <control shapeId="2057" r:id="rId6" name="CommandButton2"/>
      </mc:Fallback>
    </mc:AlternateContent>
    <mc:AlternateContent xmlns:mc="http://schemas.openxmlformats.org/markup-compatibility/2006">
      <mc:Choice Requires="x14">
        <control shapeId="2058" r:id="rId8" name="CommandButton3">
          <controlPr locked="0" defaultSize="0" autoLine="0" r:id="rId9">
            <anchor moveWithCells="1">
              <from>
                <xdr:col>4</xdr:col>
                <xdr:colOff>419100</xdr:colOff>
                <xdr:row>26</xdr:row>
                <xdr:rowOff>66675</xdr:rowOff>
              </from>
              <to>
                <xdr:col>7</xdr:col>
                <xdr:colOff>419100</xdr:colOff>
                <xdr:row>28</xdr:row>
                <xdr:rowOff>85725</xdr:rowOff>
              </to>
            </anchor>
          </controlPr>
        </control>
      </mc:Choice>
      <mc:Fallback>
        <control shapeId="2058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E00-000008000000}">
          <x14:formula1>
            <xm:f>baseUoM!$C:$C</xm:f>
          </x14:formula1>
          <xm:sqref>N15:R15</xm:sqref>
        </x14:dataValidation>
        <x14:dataValidation type="list" allowBlank="1" showInputMessage="1" showErrorMessage="1" xr:uid="{00000000-0002-0000-0E00-000009000000}">
          <x14:formula1>
            <xm:f>Plant!$C:$C</xm:f>
          </x14:formula1>
          <xm:sqref>N22</xm:sqref>
        </x14:dataValidation>
        <x14:dataValidation type="list" allowBlank="1" showInputMessage="1" showErrorMessage="1" xr:uid="{00000000-0002-0000-0E00-00000A000000}">
          <x14:formula1>
            <xm:f>'Storage Location'!$C:$C</xm:f>
          </x14:formula1>
          <xm:sqref>N25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N2"/>
  <sheetViews>
    <sheetView workbookViewId="0">
      <selection activeCell="A2" sqref="A2"/>
    </sheetView>
  </sheetViews>
  <sheetFormatPr defaultRowHeight="15"/>
  <cols>
    <col min="1" max="1" width="9.28515625" bestFit="1" customWidth="1"/>
    <col min="2" max="2" width="10.7109375" bestFit="1" customWidth="1"/>
    <col min="3" max="3" width="11" bestFit="1" customWidth="1"/>
    <col min="4" max="4" width="13.7109375" bestFit="1" customWidth="1"/>
    <col min="5" max="5" width="12.42578125" bestFit="1" customWidth="1"/>
    <col min="6" max="6" width="14.7109375" bestFit="1" customWidth="1"/>
    <col min="7" max="7" width="9.42578125" bestFit="1" customWidth="1"/>
    <col min="8" max="8" width="13.140625" bestFit="1" customWidth="1"/>
    <col min="9" max="9" width="16.85546875" customWidth="1"/>
    <col min="10" max="10" width="14.85546875" bestFit="1" customWidth="1"/>
    <col min="11" max="11" width="12.7109375" bestFit="1" customWidth="1"/>
    <col min="12" max="12" width="6.5703125" bestFit="1" customWidth="1"/>
    <col min="13" max="13" width="12.42578125" bestFit="1" customWidth="1"/>
    <col min="14" max="14" width="9.42578125" bestFit="1" customWidth="1"/>
    <col min="15" max="15" width="13.140625" bestFit="1" customWidth="1"/>
    <col min="16" max="16" width="14" bestFit="1" customWidth="1"/>
    <col min="17" max="17" width="9.7109375" bestFit="1" customWidth="1"/>
    <col min="18" max="18" width="13.42578125" bestFit="1" customWidth="1"/>
    <col min="19" max="19" width="15.28515625" bestFit="1" customWidth="1"/>
  </cols>
  <sheetData>
    <row r="1" spans="1:40" s="258" customFormat="1" ht="26.45" customHeight="1">
      <c r="A1" s="258" t="s">
        <v>3349</v>
      </c>
      <c r="B1" s="258" t="s">
        <v>3178</v>
      </c>
      <c r="C1" s="258" t="s">
        <v>3350</v>
      </c>
      <c r="D1" s="203" t="s">
        <v>3373</v>
      </c>
      <c r="E1" s="203" t="s">
        <v>3368</v>
      </c>
      <c r="F1" s="203" t="s">
        <v>3374</v>
      </c>
      <c r="G1" s="203" t="s">
        <v>3375</v>
      </c>
      <c r="H1" s="203" t="s">
        <v>3376</v>
      </c>
      <c r="I1" s="203" t="s">
        <v>3351</v>
      </c>
      <c r="J1" s="203" t="s">
        <v>3380</v>
      </c>
      <c r="K1" s="203" t="s">
        <v>3381</v>
      </c>
      <c r="L1" s="203" t="s">
        <v>3447</v>
      </c>
      <c r="M1" s="203" t="s">
        <v>3388</v>
      </c>
      <c r="N1" s="203" t="s">
        <v>3389</v>
      </c>
      <c r="O1" s="203" t="s">
        <v>3396</v>
      </c>
      <c r="P1" s="203" t="s">
        <v>3398</v>
      </c>
      <c r="Q1" s="203" t="s">
        <v>3417</v>
      </c>
      <c r="R1" s="203" t="s">
        <v>3401</v>
      </c>
      <c r="S1" s="203" t="s">
        <v>3402</v>
      </c>
      <c r="T1" s="203" t="s">
        <v>3353</v>
      </c>
      <c r="U1" s="203" t="s">
        <v>3354</v>
      </c>
      <c r="V1" s="203" t="s">
        <v>3355</v>
      </c>
      <c r="W1" s="203" t="s">
        <v>3318</v>
      </c>
      <c r="X1" s="203" t="s">
        <v>3319</v>
      </c>
      <c r="Y1" s="203" t="s">
        <v>3352</v>
      </c>
      <c r="Z1" s="203" t="s">
        <v>3421</v>
      </c>
      <c r="AA1" s="203" t="s">
        <v>3356</v>
      </c>
      <c r="AB1" s="203" t="s">
        <v>3324</v>
      </c>
      <c r="AC1" s="203" t="s">
        <v>3422</v>
      </c>
      <c r="AD1" s="203" t="s">
        <v>3327</v>
      </c>
      <c r="AE1" s="203" t="s">
        <v>3423</v>
      </c>
      <c r="AF1" s="203" t="s">
        <v>3357</v>
      </c>
      <c r="AG1" s="258" t="s">
        <v>3427</v>
      </c>
      <c r="AH1" s="203" t="s">
        <v>3332</v>
      </c>
      <c r="AI1" s="258" t="s">
        <v>3333</v>
      </c>
      <c r="AJ1" s="258" t="s">
        <v>3336</v>
      </c>
      <c r="AK1" s="203" t="s">
        <v>3334</v>
      </c>
      <c r="AL1" s="258" t="s">
        <v>3333</v>
      </c>
      <c r="AM1" s="258" t="s">
        <v>3336</v>
      </c>
      <c r="AN1" s="203" t="s">
        <v>3260</v>
      </c>
    </row>
    <row r="2" spans="1:40">
      <c r="C2" s="207"/>
      <c r="D2" s="20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AP165"/>
  <sheetViews>
    <sheetView tabSelected="1" workbookViewId="0">
      <selection activeCell="J12" sqref="J12"/>
    </sheetView>
  </sheetViews>
  <sheetFormatPr defaultRowHeight="0" customHeight="1" zeroHeight="1"/>
  <cols>
    <col min="1" max="1" width="6.7109375" style="32" customWidth="1"/>
    <col min="2" max="2" width="5.42578125" style="32" customWidth="1"/>
    <col min="3" max="3" width="4.85546875" style="32" customWidth="1"/>
    <col min="4" max="7" width="8.85546875" style="32"/>
    <col min="8" max="8" width="10.5703125" style="32" bestFit="1" customWidth="1"/>
    <col min="9" max="9" width="8.85546875" style="32"/>
    <col min="10" max="10" width="5.7109375" style="32" customWidth="1"/>
    <col min="11" max="12" width="8.85546875" style="32"/>
    <col min="13" max="13" width="10" style="32" customWidth="1"/>
    <col min="14" max="14" width="8.85546875" style="32"/>
    <col min="15" max="15" width="8.85546875" style="32" customWidth="1"/>
    <col min="16" max="16" width="15.28515625" style="32" hidden="1" customWidth="1"/>
    <col min="17" max="17" width="11.85546875" style="32" hidden="1" customWidth="1"/>
    <col min="18" max="18" width="20.42578125" style="32" hidden="1" customWidth="1"/>
    <col min="19" max="19" width="0" style="32" hidden="1" customWidth="1"/>
    <col min="20" max="20" width="5.7109375" customWidth="1"/>
    <col min="21" max="21" width="16.7109375" customWidth="1"/>
    <col min="22" max="22" width="12" customWidth="1"/>
    <col min="23" max="24" width="11.7109375" customWidth="1"/>
    <col min="25" max="25" width="11.28515625" customWidth="1"/>
    <col min="26" max="26" width="8.85546875" style="32"/>
    <col min="29" max="29" width="8.85546875" customWidth="1"/>
    <col min="38" max="42" width="8.85546875" style="32"/>
  </cols>
  <sheetData>
    <row r="1" spans="4:37" ht="14.45" customHeight="1"/>
    <row r="2" spans="4:37" ht="14.45" customHeight="1"/>
    <row r="3" spans="4:37" ht="14.45" customHeight="1"/>
    <row r="4" spans="4:37" ht="14.45" customHeight="1"/>
    <row r="5" spans="4:37" ht="14.45" customHeight="1"/>
    <row r="6" spans="4:37" ht="14.45" customHeight="1"/>
    <row r="7" spans="4:37" ht="14.45" customHeight="1"/>
    <row r="8" spans="4:37" ht="14.45" customHeight="1"/>
    <row r="9" spans="4:37" ht="14.45" customHeight="1"/>
    <row r="10" spans="4:37" ht="14.45" customHeight="1"/>
    <row r="11" spans="4:37" ht="14.45" customHeight="1"/>
    <row r="12" spans="4:37" ht="14.45" customHeight="1"/>
    <row r="13" spans="4:37" ht="15" customHeight="1" thickBot="1">
      <c r="AA13" s="32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</row>
    <row r="14" spans="4:37" ht="18" customHeight="1">
      <c r="D14" s="178" t="s">
        <v>3437</v>
      </c>
      <c r="E14" s="179"/>
      <c r="F14" s="179"/>
      <c r="G14" s="179"/>
      <c r="H14" s="179"/>
      <c r="I14" s="179"/>
      <c r="J14" s="179"/>
      <c r="K14" s="179"/>
      <c r="L14" s="179"/>
      <c r="M14" s="179"/>
      <c r="N14" s="180"/>
      <c r="O14" s="157"/>
      <c r="P14" s="157"/>
      <c r="Q14" s="157"/>
      <c r="AA14" s="384" t="s">
        <v>3438</v>
      </c>
      <c r="AB14" s="385"/>
      <c r="AC14" s="385"/>
      <c r="AD14" s="385"/>
      <c r="AE14" s="385"/>
      <c r="AF14" s="385"/>
      <c r="AG14" s="385"/>
      <c r="AH14" s="385"/>
      <c r="AI14" s="385"/>
      <c r="AJ14" s="385"/>
      <c r="AK14" s="386"/>
    </row>
    <row r="15" spans="4:37" ht="15" customHeight="1" thickBot="1">
      <c r="D15" s="208"/>
      <c r="E15" s="209"/>
      <c r="F15" s="209"/>
      <c r="G15" s="209"/>
      <c r="H15" s="209"/>
      <c r="I15" s="209"/>
      <c r="J15" s="209"/>
      <c r="K15" s="209"/>
      <c r="L15" s="209"/>
      <c r="M15" s="209"/>
      <c r="N15" s="210"/>
      <c r="O15" s="157"/>
      <c r="P15" s="157"/>
      <c r="Q15" s="157"/>
      <c r="AA15" s="387"/>
      <c r="AB15" s="388"/>
      <c r="AC15" s="388"/>
      <c r="AD15" s="388"/>
      <c r="AE15" s="388"/>
      <c r="AF15" s="388"/>
      <c r="AG15" s="388"/>
      <c r="AH15" s="388"/>
      <c r="AI15" s="388"/>
      <c r="AJ15" s="388"/>
      <c r="AK15" s="389"/>
    </row>
    <row r="16" spans="4:37" ht="27.75" thickBot="1">
      <c r="D16" s="208"/>
      <c r="E16" s="209"/>
      <c r="F16" s="209"/>
      <c r="G16" s="209" t="s">
        <v>3410</v>
      </c>
      <c r="H16" s="211" t="s">
        <v>3451</v>
      </c>
      <c r="I16" s="212"/>
      <c r="J16" s="212"/>
      <c r="K16" s="212"/>
      <c r="L16" s="212"/>
      <c r="M16" s="212"/>
      <c r="N16" s="213"/>
      <c r="O16" s="165"/>
      <c r="P16" s="165"/>
      <c r="Q16" s="157"/>
      <c r="T16" s="167"/>
      <c r="Z16" s="32" t="s">
        <v>3277</v>
      </c>
      <c r="AA16" s="238"/>
      <c r="AB16" s="239"/>
      <c r="AC16" s="239"/>
      <c r="AD16" s="239"/>
      <c r="AE16" s="239"/>
      <c r="AF16" s="239"/>
      <c r="AG16" s="239"/>
      <c r="AH16" s="239"/>
      <c r="AI16" s="239"/>
      <c r="AJ16" s="239"/>
      <c r="AK16" s="240"/>
    </row>
    <row r="17" spans="4:40" ht="15">
      <c r="D17" s="208"/>
      <c r="E17" s="209"/>
      <c r="F17" s="209"/>
      <c r="G17" s="209"/>
      <c r="H17" s="214" t="s">
        <v>3359</v>
      </c>
      <c r="I17" s="215"/>
      <c r="J17" s="215"/>
      <c r="K17" s="215"/>
      <c r="L17" s="215"/>
      <c r="M17" s="215"/>
      <c r="N17" s="216"/>
      <c r="O17" s="166"/>
      <c r="P17" s="166"/>
      <c r="Q17" s="157"/>
      <c r="AA17" s="14"/>
      <c r="AB17" s="15"/>
      <c r="AC17" s="15"/>
      <c r="AD17" s="15"/>
      <c r="AE17" s="15"/>
      <c r="AF17" s="15"/>
      <c r="AG17" s="15"/>
      <c r="AH17" s="15"/>
      <c r="AI17" s="15"/>
      <c r="AJ17" s="15"/>
      <c r="AK17" s="16"/>
    </row>
    <row r="18" spans="4:40" ht="19.5">
      <c r="D18" s="208"/>
      <c r="E18" s="209"/>
      <c r="F18" s="209"/>
      <c r="G18" s="209"/>
      <c r="H18" s="217"/>
      <c r="I18" s="217"/>
      <c r="J18" s="217"/>
      <c r="K18" s="217"/>
      <c r="L18" s="217"/>
      <c r="M18" s="217"/>
      <c r="N18" s="218"/>
      <c r="O18" s="158"/>
      <c r="P18" s="158"/>
      <c r="Q18" s="157"/>
      <c r="T18" s="177"/>
      <c r="U18" s="177"/>
      <c r="V18" s="177"/>
      <c r="W18" s="177"/>
      <c r="X18" s="177"/>
      <c r="Y18" s="177"/>
      <c r="Z18" s="226" t="s">
        <v>3277</v>
      </c>
      <c r="AA18" s="17"/>
      <c r="AB18" s="390" t="s">
        <v>3444</v>
      </c>
      <c r="AC18" s="390"/>
      <c r="AD18" s="18"/>
      <c r="AE18" s="18"/>
      <c r="AF18" s="18"/>
      <c r="AG18" s="18"/>
      <c r="AH18" s="391" t="s">
        <v>3309</v>
      </c>
      <c r="AI18" s="391"/>
      <c r="AJ18" s="391"/>
      <c r="AK18" s="19"/>
      <c r="AL18" s="18"/>
      <c r="AM18" s="18"/>
      <c r="AN18" s="18"/>
    </row>
    <row r="19" spans="4:40" ht="18.75">
      <c r="D19" s="168"/>
      <c r="E19" s="169"/>
      <c r="F19" s="169"/>
      <c r="G19" s="169"/>
      <c r="H19" s="171"/>
      <c r="I19" s="171"/>
      <c r="J19" s="171"/>
      <c r="K19" s="171"/>
      <c r="L19" s="171"/>
      <c r="M19" s="171"/>
      <c r="N19" s="172"/>
      <c r="O19" s="158"/>
      <c r="P19" s="158"/>
      <c r="Q19" s="157"/>
      <c r="T19" s="156"/>
      <c r="U19" s="28"/>
      <c r="V19" s="28"/>
      <c r="W19" s="27"/>
      <c r="X19" s="27"/>
      <c r="Z19" s="32" t="s">
        <v>3277</v>
      </c>
      <c r="AA19" s="17">
        <v>12</v>
      </c>
      <c r="AB19" s="357"/>
      <c r="AC19" s="358"/>
      <c r="AD19" s="358"/>
      <c r="AE19" s="358"/>
      <c r="AF19" s="359"/>
      <c r="AG19" s="221">
        <v>13</v>
      </c>
      <c r="AH19" s="357"/>
      <c r="AI19" s="358"/>
      <c r="AJ19" s="359"/>
      <c r="AK19" s="227"/>
    </row>
    <row r="20" spans="4:40" ht="15">
      <c r="D20" s="168"/>
      <c r="E20" s="169"/>
      <c r="F20" s="169"/>
      <c r="G20" s="169"/>
      <c r="H20" s="171"/>
      <c r="I20" s="171"/>
      <c r="J20" s="171"/>
      <c r="K20" s="171"/>
      <c r="L20" s="171"/>
      <c r="M20" s="171"/>
      <c r="N20" s="172"/>
      <c r="Q20" s="157"/>
      <c r="T20" s="156"/>
      <c r="U20" s="28"/>
      <c r="V20" s="28"/>
      <c r="W20" s="27"/>
      <c r="X20" s="27"/>
      <c r="Z20" s="32" t="s">
        <v>3277</v>
      </c>
      <c r="AA20" s="17"/>
      <c r="AB20" s="18"/>
      <c r="AC20" s="18"/>
      <c r="AD20" s="18"/>
      <c r="AE20" s="18"/>
      <c r="AF20" s="18"/>
      <c r="AG20" s="18"/>
      <c r="AH20" s="220" t="s">
        <v>3390</v>
      </c>
      <c r="AI20" s="18"/>
      <c r="AJ20" s="18"/>
      <c r="AK20" s="19"/>
      <c r="AL20" s="18"/>
      <c r="AM20" s="18"/>
      <c r="AN20" s="18"/>
    </row>
    <row r="21" spans="4:40" ht="20.25">
      <c r="D21" s="168"/>
      <c r="E21" s="162" t="s">
        <v>3367</v>
      </c>
      <c r="F21" s="169"/>
      <c r="G21" s="169"/>
      <c r="H21" s="171"/>
      <c r="I21" s="369"/>
      <c r="J21" s="370"/>
      <c r="K21" s="371"/>
      <c r="L21" s="171"/>
      <c r="M21" s="171"/>
      <c r="N21" s="172"/>
      <c r="O21" s="158"/>
      <c r="P21" s="158"/>
      <c r="Q21" s="157"/>
      <c r="T21" s="156"/>
      <c r="U21" s="28"/>
      <c r="V21" s="28"/>
      <c r="W21" s="27"/>
      <c r="X21" s="27"/>
      <c r="Z21" s="32" t="s">
        <v>3277</v>
      </c>
      <c r="AA21" s="17"/>
      <c r="AB21" s="229" t="s">
        <v>3440</v>
      </c>
      <c r="AC21" s="18"/>
      <c r="AD21" s="18"/>
      <c r="AE21" s="18"/>
      <c r="AF21" s="18"/>
      <c r="AG21" s="18"/>
      <c r="AH21" s="18"/>
      <c r="AI21" s="18"/>
      <c r="AJ21" s="18"/>
      <c r="AK21" s="19"/>
    </row>
    <row r="22" spans="4:40" ht="19.5">
      <c r="D22" s="168"/>
      <c r="E22" s="18"/>
      <c r="F22" s="169"/>
      <c r="G22" s="169"/>
      <c r="H22" s="169"/>
      <c r="I22" s="169"/>
      <c r="J22" s="169"/>
      <c r="K22" s="169"/>
      <c r="L22" s="169"/>
      <c r="M22" s="169"/>
      <c r="N22" s="170"/>
      <c r="O22" s="158"/>
      <c r="P22" s="206"/>
      <c r="Q22" s="157"/>
      <c r="T22" s="156"/>
      <c r="U22" s="30"/>
      <c r="V22" s="30"/>
      <c r="W22" s="27"/>
      <c r="X22" s="27"/>
      <c r="Z22" s="32" t="s">
        <v>3277</v>
      </c>
      <c r="AA22" s="17">
        <v>14</v>
      </c>
      <c r="AB22" s="357"/>
      <c r="AC22" s="358"/>
      <c r="AD22" s="358"/>
      <c r="AE22" s="358"/>
      <c r="AF22" s="359"/>
      <c r="AG22" s="18">
        <v>19</v>
      </c>
      <c r="AH22" s="372" t="s">
        <v>3441</v>
      </c>
      <c r="AI22" s="373"/>
      <c r="AJ22" s="182"/>
      <c r="AK22" s="19"/>
    </row>
    <row r="23" spans="4:40" ht="19.5">
      <c r="D23" s="168"/>
      <c r="E23" s="173" t="s">
        <v>3431</v>
      </c>
      <c r="F23" s="169"/>
      <c r="G23" s="169"/>
      <c r="H23" s="169"/>
      <c r="I23" s="169"/>
      <c r="J23" s="169"/>
      <c r="K23" s="169"/>
      <c r="L23" s="169"/>
      <c r="M23" s="169"/>
      <c r="N23" s="170"/>
      <c r="O23" s="157"/>
      <c r="P23" s="157"/>
      <c r="Q23" s="157"/>
      <c r="T23" s="156"/>
      <c r="U23" s="29"/>
      <c r="V23" s="29"/>
      <c r="W23" s="29"/>
      <c r="X23" s="27"/>
      <c r="Z23" s="32" t="s">
        <v>3277</v>
      </c>
      <c r="AA23" s="17"/>
      <c r="AB23" s="18"/>
      <c r="AC23" s="18"/>
      <c r="AD23" s="18"/>
      <c r="AE23" s="18"/>
      <c r="AF23" s="18"/>
      <c r="AG23" s="18"/>
      <c r="AH23" s="18"/>
      <c r="AI23" s="18"/>
      <c r="AJ23" s="18"/>
      <c r="AK23" s="19"/>
    </row>
    <row r="24" spans="4:40" ht="19.5">
      <c r="D24" s="168"/>
      <c r="E24" s="351"/>
      <c r="F24" s="352"/>
      <c r="G24" s="352"/>
      <c r="H24" s="352"/>
      <c r="I24" s="352"/>
      <c r="J24" s="352"/>
      <c r="K24" s="352"/>
      <c r="L24" s="353"/>
      <c r="M24" s="164"/>
      <c r="N24" s="174"/>
      <c r="O24" s="157"/>
      <c r="P24" s="157"/>
      <c r="Q24" s="157"/>
      <c r="T24" s="156"/>
      <c r="U24" s="151"/>
      <c r="V24" s="151"/>
      <c r="W24" s="27"/>
      <c r="X24" s="27"/>
      <c r="Z24" s="32" t="s">
        <v>3277</v>
      </c>
      <c r="AA24" s="17"/>
      <c r="AB24" s="222" t="s">
        <v>3439</v>
      </c>
      <c r="AC24" s="18"/>
      <c r="AD24" s="18"/>
      <c r="AE24" s="18"/>
      <c r="AF24" s="18"/>
      <c r="AG24" s="18"/>
      <c r="AH24" s="222" t="s">
        <v>3418</v>
      </c>
      <c r="AI24" s="18"/>
      <c r="AJ24" s="18"/>
      <c r="AK24" s="19"/>
    </row>
    <row r="25" spans="4:40" ht="21.6" customHeight="1">
      <c r="D25" s="168"/>
      <c r="E25" s="175" t="s">
        <v>3296</v>
      </c>
      <c r="F25" s="169"/>
      <c r="G25" s="169"/>
      <c r="H25" s="169"/>
      <c r="I25" s="169"/>
      <c r="J25" s="169"/>
      <c r="K25" s="169"/>
      <c r="L25" s="169"/>
      <c r="M25" s="169"/>
      <c r="N25" s="170"/>
      <c r="O25" s="164"/>
      <c r="P25" s="164"/>
      <c r="Q25" s="157"/>
      <c r="T25" s="156"/>
      <c r="U25" s="29"/>
      <c r="V25" s="29"/>
      <c r="W25" s="27"/>
      <c r="X25" s="153"/>
      <c r="Z25" s="32" t="s">
        <v>3277</v>
      </c>
      <c r="AA25" s="17">
        <v>15</v>
      </c>
      <c r="AB25" s="357"/>
      <c r="AC25" s="358"/>
      <c r="AD25" s="358"/>
      <c r="AE25" s="358"/>
      <c r="AF25" s="359"/>
      <c r="AG25" s="18">
        <v>16</v>
      </c>
      <c r="AH25" s="267"/>
      <c r="AI25" s="272"/>
      <c r="AJ25" s="268"/>
      <c r="AK25" s="236"/>
    </row>
    <row r="26" spans="4:40" ht="15.6" customHeight="1">
      <c r="D26" s="168"/>
      <c r="E26" s="175" t="s">
        <v>3297</v>
      </c>
      <c r="F26" s="169"/>
      <c r="G26" s="169"/>
      <c r="H26" s="169"/>
      <c r="I26" s="169"/>
      <c r="J26" s="169"/>
      <c r="K26" s="169"/>
      <c r="L26" s="169"/>
      <c r="M26" s="169"/>
      <c r="N26" s="170"/>
      <c r="O26" s="157"/>
      <c r="P26" s="157"/>
      <c r="Q26" s="157"/>
      <c r="T26" s="156"/>
      <c r="U26" s="29"/>
      <c r="V26" s="29"/>
      <c r="W26" s="31"/>
      <c r="X26" s="27"/>
      <c r="Z26" s="32" t="s">
        <v>3277</v>
      </c>
      <c r="AA26" s="17"/>
      <c r="AB26" s="18"/>
      <c r="AC26" s="18"/>
      <c r="AD26" s="18"/>
      <c r="AE26" s="18"/>
      <c r="AF26" s="18"/>
      <c r="AG26" s="18"/>
      <c r="AH26" s="18"/>
      <c r="AI26" s="18"/>
      <c r="AJ26" s="18"/>
      <c r="AK26" s="19"/>
    </row>
    <row r="27" spans="4:40" ht="15.6" customHeight="1">
      <c r="D27" s="168"/>
      <c r="E27" s="169"/>
      <c r="F27" s="169"/>
      <c r="G27" s="169"/>
      <c r="H27" s="169"/>
      <c r="I27" s="169"/>
      <c r="J27" s="169"/>
      <c r="K27" s="169"/>
      <c r="L27" s="169"/>
      <c r="M27" s="169"/>
      <c r="N27" s="170"/>
      <c r="O27" s="157"/>
      <c r="P27" s="157"/>
      <c r="Q27" s="157"/>
      <c r="T27" s="156"/>
      <c r="U27" s="30"/>
      <c r="V27" s="29"/>
      <c r="W27" s="27"/>
      <c r="X27" s="154"/>
      <c r="Z27" s="32" t="s">
        <v>3277</v>
      </c>
      <c r="AA27" s="17"/>
      <c r="AB27" s="237" t="s">
        <v>3443</v>
      </c>
      <c r="AC27" s="18"/>
      <c r="AD27" s="18"/>
      <c r="AE27" s="18"/>
      <c r="AF27" s="18"/>
      <c r="AG27" s="18"/>
      <c r="AH27" s="18"/>
      <c r="AI27" s="18"/>
      <c r="AJ27" s="18"/>
      <c r="AK27" s="19"/>
    </row>
    <row r="28" spans="4:40" ht="15.6" customHeight="1">
      <c r="D28" s="168"/>
      <c r="E28" s="173" t="s">
        <v>3432</v>
      </c>
      <c r="F28" s="169"/>
      <c r="G28" s="169"/>
      <c r="H28" s="169"/>
      <c r="I28" s="169"/>
      <c r="J28" s="169"/>
      <c r="K28" s="169"/>
      <c r="L28" s="169"/>
      <c r="M28" s="169"/>
      <c r="N28" s="170"/>
      <c r="O28" s="157"/>
      <c r="P28" s="157"/>
      <c r="Q28" s="157"/>
      <c r="T28" s="156"/>
      <c r="U28" s="30"/>
      <c r="V28" s="29"/>
      <c r="W28" s="27"/>
      <c r="X28" s="154"/>
      <c r="Z28" s="32" t="s">
        <v>3277</v>
      </c>
      <c r="AA28" s="17">
        <v>17</v>
      </c>
      <c r="AB28" s="343"/>
      <c r="AC28" s="344"/>
      <c r="AD28" s="344"/>
      <c r="AE28" s="344"/>
      <c r="AF28" s="344"/>
      <c r="AG28" s="344"/>
      <c r="AH28" s="344"/>
      <c r="AI28" s="345"/>
      <c r="AJ28" s="18"/>
      <c r="AK28" s="19"/>
    </row>
    <row r="29" spans="4:40" ht="18.600000000000001" customHeight="1">
      <c r="D29" s="168"/>
      <c r="E29" s="374"/>
      <c r="F29" s="375"/>
      <c r="G29" s="375"/>
      <c r="H29" s="375"/>
      <c r="I29" s="375"/>
      <c r="J29" s="375"/>
      <c r="K29" s="375"/>
      <c r="L29" s="376"/>
      <c r="M29" s="163"/>
      <c r="N29" s="176"/>
      <c r="O29" s="157"/>
      <c r="P29" s="157"/>
      <c r="Q29" s="157"/>
      <c r="T29" s="156"/>
      <c r="U29" s="151"/>
      <c r="V29" s="151"/>
      <c r="W29" s="27"/>
      <c r="X29" s="27"/>
      <c r="AA29" s="17"/>
      <c r="AB29" s="18"/>
      <c r="AC29" s="18"/>
      <c r="AD29" s="18"/>
      <c r="AE29" s="18"/>
      <c r="AF29" s="18"/>
      <c r="AG29" s="18"/>
      <c r="AH29" s="18"/>
      <c r="AI29" s="18"/>
      <c r="AJ29" s="18"/>
      <c r="AK29" s="19"/>
    </row>
    <row r="30" spans="4:40" ht="16.149999999999999" customHeight="1">
      <c r="D30" s="168"/>
      <c r="E30" s="377"/>
      <c r="F30" s="378"/>
      <c r="G30" s="378"/>
      <c r="H30" s="378"/>
      <c r="I30" s="378"/>
      <c r="J30" s="378"/>
      <c r="K30" s="378"/>
      <c r="L30" s="379"/>
      <c r="M30" s="163"/>
      <c r="N30" s="176"/>
      <c r="O30" s="163"/>
      <c r="P30" s="163"/>
      <c r="Q30" s="157"/>
      <c r="AA30" s="17"/>
      <c r="AB30" s="237" t="s">
        <v>3442</v>
      </c>
      <c r="AC30" s="18"/>
      <c r="AD30" s="18"/>
      <c r="AE30" s="18"/>
      <c r="AF30" s="18"/>
      <c r="AG30" s="18"/>
      <c r="AH30" s="18"/>
      <c r="AI30" s="18"/>
      <c r="AJ30" s="18"/>
      <c r="AK30" s="19"/>
    </row>
    <row r="31" spans="4:40" ht="16.149999999999999" customHeight="1">
      <c r="D31" s="168"/>
      <c r="E31" s="377"/>
      <c r="F31" s="378"/>
      <c r="G31" s="378"/>
      <c r="H31" s="378"/>
      <c r="I31" s="378"/>
      <c r="J31" s="378"/>
      <c r="K31" s="378"/>
      <c r="L31" s="379"/>
      <c r="M31" s="163"/>
      <c r="N31" s="176"/>
      <c r="O31" s="163"/>
      <c r="P31" s="163"/>
      <c r="Q31" s="157"/>
      <c r="AA31" s="17">
        <v>18</v>
      </c>
      <c r="AB31" s="198"/>
      <c r="AC31" s="199"/>
      <c r="AD31" s="199"/>
      <c r="AE31" s="199"/>
      <c r="AF31" s="199"/>
      <c r="AG31" s="199"/>
      <c r="AH31" s="199"/>
      <c r="AI31" s="200"/>
      <c r="AJ31" s="18"/>
      <c r="AK31" s="19"/>
    </row>
    <row r="32" spans="4:40" ht="16.149999999999999" customHeight="1">
      <c r="D32" s="168"/>
      <c r="E32" s="377"/>
      <c r="F32" s="378"/>
      <c r="G32" s="378"/>
      <c r="H32" s="378"/>
      <c r="I32" s="378"/>
      <c r="J32" s="378"/>
      <c r="K32" s="378"/>
      <c r="L32" s="379"/>
      <c r="M32" s="163"/>
      <c r="N32" s="176"/>
      <c r="O32" s="163"/>
      <c r="P32" s="163"/>
      <c r="Q32" s="157"/>
      <c r="U32" t="s">
        <v>3382</v>
      </c>
      <c r="AA32" s="17"/>
      <c r="AB32" s="18"/>
      <c r="AC32" s="18"/>
      <c r="AD32" s="18"/>
      <c r="AE32" s="18"/>
      <c r="AF32" s="18"/>
      <c r="AG32" s="18"/>
      <c r="AH32" s="18"/>
      <c r="AI32" s="18"/>
      <c r="AJ32" s="18"/>
      <c r="AK32" s="19"/>
    </row>
    <row r="33" spans="4:37" ht="16.149999999999999" customHeight="1">
      <c r="D33" s="168"/>
      <c r="E33" s="380"/>
      <c r="F33" s="381"/>
      <c r="G33" s="381"/>
      <c r="H33" s="381"/>
      <c r="I33" s="381"/>
      <c r="J33" s="381"/>
      <c r="K33" s="381"/>
      <c r="L33" s="382"/>
      <c r="M33" s="163"/>
      <c r="N33" s="176"/>
      <c r="O33" s="163"/>
      <c r="P33" s="163"/>
      <c r="Q33" s="157"/>
      <c r="AA33" s="17">
        <v>20</v>
      </c>
      <c r="AB33" s="372" t="s">
        <v>3445</v>
      </c>
      <c r="AC33" s="373"/>
      <c r="AD33" s="183"/>
      <c r="AE33" s="18"/>
      <c r="AF33" s="18"/>
      <c r="AG33" s="18"/>
      <c r="AH33" s="18"/>
      <c r="AI33" s="18"/>
      <c r="AJ33" s="18"/>
      <c r="AK33" s="19"/>
    </row>
    <row r="34" spans="4:37" ht="16.149999999999999" customHeight="1">
      <c r="D34" s="168"/>
      <c r="E34" s="175" t="s">
        <v>3299</v>
      </c>
      <c r="F34" s="169"/>
      <c r="G34" s="169"/>
      <c r="H34" s="169"/>
      <c r="I34" s="169"/>
      <c r="J34" s="169"/>
      <c r="K34" s="169"/>
      <c r="L34" s="169"/>
      <c r="M34" s="169"/>
      <c r="N34" s="170"/>
      <c r="O34" s="163"/>
      <c r="P34" s="163"/>
      <c r="Q34" s="157"/>
      <c r="U34" t="s">
        <v>3430</v>
      </c>
      <c r="V34" s="18"/>
      <c r="W34" s="18" t="s">
        <v>3435</v>
      </c>
      <c r="X34" s="18" t="s">
        <v>3436</v>
      </c>
      <c r="AA34" s="17"/>
      <c r="AB34" s="383" t="s">
        <v>3405</v>
      </c>
      <c r="AC34" s="383"/>
      <c r="AD34" s="383"/>
      <c r="AE34" s="383"/>
      <c r="AF34" s="92">
        <v>21</v>
      </c>
      <c r="AG34" s="232" t="s">
        <v>3318</v>
      </c>
      <c r="AH34" s="230"/>
      <c r="AI34" s="185">
        <v>0</v>
      </c>
      <c r="AJ34" s="32"/>
      <c r="AK34" s="19"/>
    </row>
    <row r="35" spans="4:37" ht="16.149999999999999" customHeight="1">
      <c r="D35" s="168"/>
      <c r="E35" s="169"/>
      <c r="F35" s="169"/>
      <c r="G35" s="169"/>
      <c r="H35" s="169"/>
      <c r="I35" s="169"/>
      <c r="J35" s="169"/>
      <c r="K35" s="169"/>
      <c r="L35" s="169"/>
      <c r="M35" s="169"/>
      <c r="N35" s="170"/>
      <c r="O35" s="157"/>
      <c r="P35" s="157"/>
      <c r="Q35" s="157"/>
      <c r="T35">
        <v>1</v>
      </c>
      <c r="U35" t="e">
        <f>AND(LEN(#REF!)&gt;0)</f>
        <v>#REF!</v>
      </c>
      <c r="V35" s="18" t="e">
        <f>AND(NOT(U35),$X$35)</f>
        <v>#REF!</v>
      </c>
      <c r="W35" s="18">
        <f ca="1">COUNTIF(U35:U45,FALSE)</f>
        <v>7</v>
      </c>
      <c r="X35" s="57">
        <f ca="1">IF(W35&gt;0,1,0)</f>
        <v>1</v>
      </c>
      <c r="AA35" s="17"/>
      <c r="AB35" s="34"/>
      <c r="AC35" s="34"/>
      <c r="AD35" s="34"/>
      <c r="AE35" s="34"/>
      <c r="AF35" s="92">
        <v>22</v>
      </c>
      <c r="AG35" s="233" t="s">
        <v>3319</v>
      </c>
      <c r="AH35" s="231"/>
      <c r="AI35" s="184">
        <v>0</v>
      </c>
      <c r="AJ35" s="32"/>
      <c r="AK35" s="19"/>
    </row>
    <row r="36" spans="4:37" ht="16.149999999999999" customHeight="1">
      <c r="D36" s="168"/>
      <c r="E36" s="169"/>
      <c r="F36" s="169"/>
      <c r="G36" s="169"/>
      <c r="H36" s="169"/>
      <c r="I36" s="169"/>
      <c r="J36" s="169"/>
      <c r="K36" s="169"/>
      <c r="L36" s="169"/>
      <c r="M36" s="169"/>
      <c r="N36" s="170"/>
      <c r="O36" s="157"/>
      <c r="P36" s="157"/>
      <c r="Q36" s="157"/>
      <c r="T36">
        <v>2</v>
      </c>
      <c r="U36" t="b">
        <f ca="1">AND(I21&gt;(TODAY()+3))</f>
        <v>0</v>
      </c>
      <c r="V36" s="18" t="b">
        <f t="shared" ref="V36:V43" ca="1" si="0">AND(NOT(U36),$X$35)</f>
        <v>1</v>
      </c>
      <c r="W36" s="18"/>
      <c r="X36" s="18"/>
      <c r="AA36" s="17"/>
      <c r="AB36" s="92"/>
      <c r="AC36" s="92"/>
      <c r="AD36" s="92"/>
      <c r="AE36" s="92"/>
      <c r="AF36" s="92">
        <v>23</v>
      </c>
      <c r="AG36" s="233" t="s">
        <v>3321</v>
      </c>
      <c r="AH36" s="231"/>
      <c r="AI36" s="184">
        <v>0</v>
      </c>
      <c r="AJ36" s="32"/>
      <c r="AK36" s="19"/>
    </row>
    <row r="37" spans="4:37" ht="16.149999999999999" customHeight="1">
      <c r="D37" s="168"/>
      <c r="E37" s="161" t="s">
        <v>3369</v>
      </c>
      <c r="F37" s="169"/>
      <c r="G37" s="169"/>
      <c r="H37" s="169"/>
      <c r="I37" s="169"/>
      <c r="J37" s="169"/>
      <c r="K37" s="18"/>
      <c r="L37" s="18"/>
      <c r="M37" s="18"/>
      <c r="N37" s="19"/>
      <c r="O37" s="157"/>
      <c r="P37" s="157"/>
      <c r="Q37" s="157"/>
      <c r="T37">
        <v>3</v>
      </c>
      <c r="U37" t="b">
        <f>AND(LEN(E24)&gt;0,LEN(E24)&lt;40,EXACT(UPPER(E24),E24))</f>
        <v>0</v>
      </c>
      <c r="V37" s="18" t="b">
        <f t="shared" ca="1" si="0"/>
        <v>1</v>
      </c>
      <c r="W37" s="18"/>
      <c r="X37" s="18"/>
      <c r="AA37" s="17"/>
      <c r="AB37" s="92"/>
      <c r="AC37" s="92"/>
      <c r="AD37" s="92"/>
      <c r="AE37" s="92"/>
      <c r="AF37" s="92">
        <v>24</v>
      </c>
      <c r="AG37" s="233" t="s">
        <v>3322</v>
      </c>
      <c r="AH37" s="231"/>
      <c r="AI37" s="184">
        <v>0</v>
      </c>
      <c r="AJ37" s="32"/>
      <c r="AK37" s="19"/>
    </row>
    <row r="38" spans="4:37" ht="16.149999999999999" customHeight="1">
      <c r="D38" s="168"/>
      <c r="E38" s="351"/>
      <c r="F38" s="352"/>
      <c r="G38" s="352"/>
      <c r="H38" s="352"/>
      <c r="I38" s="353"/>
      <c r="J38" s="169"/>
      <c r="K38" s="18"/>
      <c r="L38" s="18"/>
      <c r="M38" s="18"/>
      <c r="N38" s="19"/>
      <c r="P38" s="157"/>
      <c r="Q38" s="157"/>
      <c r="T38">
        <v>4</v>
      </c>
      <c r="U38" t="b">
        <f>AND(LEN(E29)&gt;0,LEN(E29)&lt;2000,EXACT(UPPER(E29),E29))</f>
        <v>0</v>
      </c>
      <c r="V38" s="18" t="b">
        <f t="shared" ca="1" si="0"/>
        <v>1</v>
      </c>
      <c r="W38" s="18"/>
      <c r="X38" s="18"/>
      <c r="AA38" s="17"/>
      <c r="AB38" s="92"/>
      <c r="AC38" s="92"/>
      <c r="AD38" s="92"/>
      <c r="AE38" s="92"/>
      <c r="AF38" s="92">
        <v>25</v>
      </c>
      <c r="AG38" s="233" t="s">
        <v>3323</v>
      </c>
      <c r="AH38" s="231"/>
      <c r="AI38" s="184">
        <v>0</v>
      </c>
      <c r="AJ38" s="32"/>
      <c r="AK38" s="19"/>
    </row>
    <row r="39" spans="4:37" ht="16.149999999999999" customHeight="1">
      <c r="D39" s="168"/>
      <c r="E39" s="169"/>
      <c r="F39" s="169"/>
      <c r="G39" s="169"/>
      <c r="H39" s="169"/>
      <c r="I39" s="169"/>
      <c r="J39" s="169"/>
      <c r="K39" s="18"/>
      <c r="L39" s="18"/>
      <c r="M39" s="18"/>
      <c r="N39" s="19"/>
      <c r="P39" s="157"/>
      <c r="Q39" s="157"/>
      <c r="T39">
        <v>5</v>
      </c>
      <c r="U39" t="b">
        <f>AND(LEN(E38)&gt;0)</f>
        <v>0</v>
      </c>
      <c r="V39" s="18" t="b">
        <f t="shared" ca="1" si="0"/>
        <v>1</v>
      </c>
      <c r="W39" s="18"/>
      <c r="X39" s="18"/>
      <c r="AA39" s="17"/>
      <c r="AB39" s="229" t="s">
        <v>3324</v>
      </c>
      <c r="AC39" s="197"/>
      <c r="AD39" s="18"/>
      <c r="AE39" s="18"/>
      <c r="AF39" s="18"/>
      <c r="AG39" s="18"/>
      <c r="AH39" s="18"/>
      <c r="AI39" s="18"/>
      <c r="AJ39" s="18"/>
      <c r="AK39" s="19"/>
    </row>
    <row r="40" spans="4:37" ht="19.5">
      <c r="D40" s="168"/>
      <c r="E40" s="161" t="s">
        <v>3301</v>
      </c>
      <c r="F40" s="169"/>
      <c r="G40" s="169"/>
      <c r="H40" s="169"/>
      <c r="I40" s="169"/>
      <c r="J40" s="169"/>
      <c r="K40" s="18"/>
      <c r="L40" s="18"/>
      <c r="M40" s="18"/>
      <c r="N40" s="19"/>
      <c r="Q40" s="157"/>
      <c r="T40">
        <v>6</v>
      </c>
      <c r="V40" s="18"/>
      <c r="W40" s="32"/>
      <c r="X40" s="18"/>
      <c r="AA40" s="17">
        <v>26</v>
      </c>
      <c r="AB40" s="343"/>
      <c r="AC40" s="344"/>
      <c r="AD40" s="344"/>
      <c r="AE40" s="344"/>
      <c r="AF40" s="344"/>
      <c r="AG40" s="344"/>
      <c r="AH40" s="344"/>
      <c r="AI40" s="345"/>
      <c r="AJ40" s="234"/>
      <c r="AK40" s="19"/>
    </row>
    <row r="41" spans="4:37" ht="15">
      <c r="D41" s="168"/>
      <c r="E41" s="351"/>
      <c r="F41" s="352"/>
      <c r="G41" s="352"/>
      <c r="H41" s="352"/>
      <c r="I41" s="353"/>
      <c r="J41" s="169"/>
      <c r="K41" s="169"/>
      <c r="L41" s="18"/>
      <c r="M41" s="18"/>
      <c r="N41" s="19"/>
      <c r="Q41" s="157"/>
      <c r="T41">
        <v>7</v>
      </c>
      <c r="U41" t="b">
        <f>AND(LEN(E45)&gt;0)</f>
        <v>0</v>
      </c>
      <c r="V41" s="18" t="b">
        <f t="shared" ca="1" si="0"/>
        <v>1</v>
      </c>
      <c r="W41" s="32"/>
      <c r="X41" s="18"/>
      <c r="AA41" s="17"/>
      <c r="AB41" s="235" t="s">
        <v>3325</v>
      </c>
      <c r="AD41" s="18"/>
      <c r="AE41" s="18"/>
      <c r="AF41" s="18"/>
      <c r="AG41" s="18"/>
      <c r="AH41" s="18"/>
      <c r="AI41" s="18"/>
      <c r="AJ41" s="18"/>
      <c r="AK41" s="19"/>
    </row>
    <row r="42" spans="4:37" ht="16.899999999999999" customHeight="1">
      <c r="D42" s="168"/>
      <c r="E42" s="175" t="s">
        <v>3302</v>
      </c>
      <c r="F42" s="169"/>
      <c r="G42" s="169"/>
      <c r="H42" s="169"/>
      <c r="I42" s="169"/>
      <c r="J42" s="169"/>
      <c r="K42" s="169"/>
      <c r="L42" s="169"/>
      <c r="M42" s="169"/>
      <c r="N42" s="170"/>
      <c r="Q42" s="157"/>
      <c r="T42">
        <v>8</v>
      </c>
      <c r="U42" t="b">
        <f>AND(LEN(E48)&gt;0)</f>
        <v>0</v>
      </c>
      <c r="V42" s="18" t="b">
        <f t="shared" ca="1" si="0"/>
        <v>1</v>
      </c>
      <c r="W42" s="32"/>
      <c r="X42" s="18"/>
      <c r="AA42" s="17"/>
      <c r="AB42" s="18"/>
      <c r="AC42" s="18"/>
      <c r="AD42" s="18"/>
      <c r="AE42" s="18"/>
      <c r="AF42" s="18"/>
      <c r="AG42" s="18"/>
      <c r="AH42" s="18"/>
      <c r="AI42" s="18"/>
      <c r="AJ42" s="18"/>
      <c r="AK42" s="19"/>
    </row>
    <row r="43" spans="4:37" ht="17.45" customHeight="1">
      <c r="D43" s="168"/>
      <c r="E43" s="18"/>
      <c r="F43" s="18"/>
      <c r="G43" s="18"/>
      <c r="H43" s="18"/>
      <c r="I43" s="18"/>
      <c r="J43" s="169"/>
      <c r="K43" s="169"/>
      <c r="L43" s="169"/>
      <c r="M43" s="169"/>
      <c r="N43" s="170"/>
      <c r="O43" s="157"/>
      <c r="P43" s="157"/>
      <c r="Q43" s="157"/>
      <c r="T43">
        <v>9</v>
      </c>
      <c r="U43" t="b">
        <f>AND(LEN(E65)&gt;0)</f>
        <v>0</v>
      </c>
      <c r="V43" s="18" t="b">
        <f t="shared" ca="1" si="0"/>
        <v>1</v>
      </c>
      <c r="W43" s="32"/>
      <c r="X43" s="18"/>
      <c r="AA43" s="17">
        <v>27</v>
      </c>
      <c r="AB43" s="222" t="s">
        <v>3406</v>
      </c>
      <c r="AC43" s="18"/>
      <c r="AD43" s="224">
        <v>0</v>
      </c>
      <c r="AE43" s="18"/>
      <c r="AF43" s="222" t="s">
        <v>3327</v>
      </c>
      <c r="AG43" s="58"/>
      <c r="AH43" s="18">
        <v>28</v>
      </c>
      <c r="AI43" s="18"/>
      <c r="AJ43" s="18"/>
      <c r="AK43" s="19"/>
    </row>
    <row r="44" spans="4:37" ht="19.5">
      <c r="D44" s="168"/>
      <c r="E44" s="162" t="s">
        <v>3370</v>
      </c>
      <c r="F44" s="169"/>
      <c r="G44" s="169"/>
      <c r="H44" s="169"/>
      <c r="I44" s="169"/>
      <c r="J44" s="169"/>
      <c r="K44" s="169"/>
      <c r="L44" s="169"/>
      <c r="M44" s="169"/>
      <c r="N44" s="170"/>
      <c r="O44" s="157"/>
      <c r="P44" s="157"/>
      <c r="Q44" s="157"/>
      <c r="T44">
        <v>10</v>
      </c>
      <c r="V44" s="18"/>
      <c r="AA44" s="17"/>
      <c r="AB44" s="18"/>
      <c r="AC44" s="225"/>
      <c r="AD44" s="225"/>
      <c r="AE44" s="225"/>
      <c r="AF44" s="225"/>
      <c r="AG44" s="18"/>
      <c r="AH44" s="18"/>
      <c r="AI44" s="18"/>
      <c r="AJ44" s="18"/>
      <c r="AK44" s="19"/>
    </row>
    <row r="45" spans="4:37" ht="20.45" customHeight="1">
      <c r="D45" s="17"/>
      <c r="E45" s="354"/>
      <c r="F45" s="355"/>
      <c r="G45" s="355"/>
      <c r="H45" s="355"/>
      <c r="I45" s="356"/>
      <c r="J45" s="18"/>
      <c r="K45" s="18"/>
      <c r="L45" s="18"/>
      <c r="M45" s="18"/>
      <c r="N45" s="19"/>
      <c r="O45" s="157"/>
      <c r="P45" s="157"/>
      <c r="Q45" s="157"/>
      <c r="T45">
        <v>11</v>
      </c>
      <c r="V45" s="18"/>
      <c r="AA45" s="17"/>
      <c r="AB45" s="222" t="s">
        <v>3407</v>
      </c>
      <c r="AC45" s="18"/>
      <c r="AD45" s="18"/>
      <c r="AE45" s="18"/>
      <c r="AF45" s="223" t="s">
        <v>3409</v>
      </c>
      <c r="AG45" s="18"/>
      <c r="AH45" s="191" t="s">
        <v>3408</v>
      </c>
      <c r="AI45" s="18"/>
      <c r="AJ45" s="18"/>
      <c r="AK45" s="19"/>
    </row>
    <row r="46" spans="4:37" ht="19.149999999999999" customHeight="1">
      <c r="D46" s="17"/>
      <c r="E46" s="169"/>
      <c r="F46" s="169"/>
      <c r="G46" s="169"/>
      <c r="H46" s="169"/>
      <c r="I46" s="169"/>
      <c r="J46" s="18"/>
      <c r="K46" s="18"/>
      <c r="L46" s="18"/>
      <c r="M46" s="18"/>
      <c r="N46" s="19"/>
      <c r="T46">
        <v>12</v>
      </c>
      <c r="U46" t="b">
        <f>AND(LEN(AB19)&gt;0)</f>
        <v>0</v>
      </c>
      <c r="V46" s="18" t="b">
        <f>AND(NOT(U46),)</f>
        <v>0</v>
      </c>
      <c r="W46" s="18" t="s">
        <v>3435</v>
      </c>
      <c r="X46" s="18" t="s">
        <v>3436</v>
      </c>
      <c r="AA46" s="17">
        <v>29</v>
      </c>
      <c r="AB46" s="267"/>
      <c r="AC46" s="272"/>
      <c r="AD46" s="268"/>
      <c r="AE46" s="18">
        <v>30</v>
      </c>
      <c r="AF46" s="267"/>
      <c r="AG46" s="272"/>
      <c r="AH46" s="272"/>
      <c r="AI46" s="272"/>
      <c r="AJ46" s="268"/>
      <c r="AK46" s="19"/>
    </row>
    <row r="47" spans="4:37" ht="19.5">
      <c r="D47" s="17"/>
      <c r="E47" s="162" t="s">
        <v>3371</v>
      </c>
      <c r="F47" s="169"/>
      <c r="G47" s="169"/>
      <c r="H47" s="169"/>
      <c r="I47" s="169"/>
      <c r="J47" s="18"/>
      <c r="K47" s="18"/>
      <c r="L47" s="18"/>
      <c r="M47" s="18"/>
      <c r="N47" s="19"/>
      <c r="T47">
        <v>13</v>
      </c>
      <c r="V47" s="18"/>
      <c r="W47" s="18">
        <f>COUNTIF(U46:U65,FALSE)</f>
        <v>7</v>
      </c>
      <c r="X47" s="57">
        <f>IF(W47&gt;0,1,0)</f>
        <v>1</v>
      </c>
      <c r="AA47" s="17"/>
      <c r="AB47" s="18"/>
      <c r="AC47" s="18"/>
      <c r="AD47" s="18"/>
      <c r="AE47" s="18"/>
      <c r="AF47" s="18"/>
      <c r="AG47" s="18"/>
      <c r="AH47" s="18"/>
      <c r="AI47" s="18"/>
      <c r="AJ47" s="18"/>
      <c r="AK47" s="19"/>
    </row>
    <row r="48" spans="4:37" ht="19.5">
      <c r="D48" s="17"/>
      <c r="E48" s="351"/>
      <c r="F48" s="352"/>
      <c r="G48" s="352"/>
      <c r="H48" s="352"/>
      <c r="I48" s="353"/>
      <c r="J48" s="18"/>
      <c r="K48" s="18"/>
      <c r="L48" s="18"/>
      <c r="M48" s="18"/>
      <c r="N48" s="19"/>
      <c r="T48">
        <v>14</v>
      </c>
      <c r="U48" t="b">
        <f>AND(LEN(AB22)&gt;0)</f>
        <v>0</v>
      </c>
      <c r="V48" s="18" t="b">
        <f t="shared" ref="V48:V64" si="1">AND(NOT(U48),)</f>
        <v>0</v>
      </c>
      <c r="AA48" s="17">
        <v>31</v>
      </c>
      <c r="AB48" s="222" t="s">
        <v>3260</v>
      </c>
      <c r="AC48" s="18"/>
      <c r="AD48" s="18"/>
      <c r="AE48" s="18"/>
      <c r="AF48" s="18"/>
      <c r="AG48" s="18"/>
      <c r="AH48" s="18"/>
      <c r="AI48" s="18"/>
      <c r="AJ48" s="18"/>
      <c r="AK48" s="19"/>
    </row>
    <row r="49" spans="4:38" ht="20.45" customHeight="1">
      <c r="D49" s="17"/>
      <c r="E49" s="18"/>
      <c r="F49" s="18"/>
      <c r="G49" s="18"/>
      <c r="H49" s="18"/>
      <c r="I49" s="18"/>
      <c r="J49" s="18"/>
      <c r="K49" s="18"/>
      <c r="L49" s="18"/>
      <c r="M49" s="18"/>
      <c r="N49" s="19"/>
      <c r="T49">
        <v>15</v>
      </c>
      <c r="U49" t="b">
        <f>AND(LEN(AB25)&gt;0)</f>
        <v>0</v>
      </c>
      <c r="V49" s="18" t="b">
        <f t="shared" si="1"/>
        <v>0</v>
      </c>
      <c r="AA49" s="17"/>
      <c r="AB49" s="307"/>
      <c r="AC49" s="308"/>
      <c r="AD49" s="308"/>
      <c r="AE49" s="308"/>
      <c r="AF49" s="308"/>
      <c r="AG49" s="308"/>
      <c r="AH49" s="308"/>
      <c r="AI49" s="308"/>
      <c r="AJ49" s="309"/>
      <c r="AK49" s="19"/>
    </row>
    <row r="50" spans="4:38" ht="19.5">
      <c r="D50" s="17"/>
      <c r="E50" s="159" t="s">
        <v>3391</v>
      </c>
      <c r="F50" s="18"/>
      <c r="G50" s="18"/>
      <c r="H50" s="18"/>
      <c r="I50" s="18"/>
      <c r="J50" s="18"/>
      <c r="K50" s="18"/>
      <c r="L50" s="18"/>
      <c r="M50" s="18"/>
      <c r="N50" s="19"/>
      <c r="T50">
        <v>16</v>
      </c>
      <c r="V50" s="18"/>
      <c r="AA50" s="17"/>
      <c r="AB50" s="310"/>
      <c r="AC50" s="311"/>
      <c r="AD50" s="311"/>
      <c r="AE50" s="311"/>
      <c r="AF50" s="311"/>
      <c r="AG50" s="311"/>
      <c r="AH50" s="311"/>
      <c r="AI50" s="311"/>
      <c r="AJ50" s="312"/>
      <c r="AK50" s="19"/>
    </row>
    <row r="51" spans="4:38" ht="18.75">
      <c r="D51" s="17"/>
      <c r="E51" s="357"/>
      <c r="F51" s="358"/>
      <c r="G51" s="358"/>
      <c r="H51" s="358"/>
      <c r="I51" s="358"/>
      <c r="J51" s="358"/>
      <c r="K51" s="358"/>
      <c r="L51" s="359"/>
      <c r="M51" s="18"/>
      <c r="N51" s="19"/>
      <c r="T51">
        <v>17</v>
      </c>
      <c r="V51" s="18"/>
      <c r="AA51" s="17"/>
      <c r="AB51" s="310"/>
      <c r="AC51" s="311"/>
      <c r="AD51" s="311"/>
      <c r="AE51" s="311"/>
      <c r="AF51" s="311"/>
      <c r="AG51" s="311"/>
      <c r="AH51" s="311"/>
      <c r="AI51" s="311"/>
      <c r="AJ51" s="312"/>
      <c r="AK51" s="19"/>
    </row>
    <row r="52" spans="4:38" ht="18.600000000000001" customHeight="1">
      <c r="D52" s="17"/>
      <c r="E52" s="259"/>
      <c r="F52" s="259"/>
      <c r="G52" s="259"/>
      <c r="H52" s="259"/>
      <c r="I52" s="259"/>
      <c r="J52" s="18"/>
      <c r="K52" s="18"/>
      <c r="L52" s="18"/>
      <c r="M52" s="18"/>
      <c r="N52" s="19"/>
      <c r="T52">
        <v>18</v>
      </c>
      <c r="V52" s="18"/>
      <c r="AA52" s="17"/>
      <c r="AB52" s="310"/>
      <c r="AC52" s="311"/>
      <c r="AD52" s="311"/>
      <c r="AE52" s="311"/>
      <c r="AF52" s="311"/>
      <c r="AG52" s="311"/>
      <c r="AH52" s="311"/>
      <c r="AI52" s="311"/>
      <c r="AJ52" s="312"/>
      <c r="AK52" s="19"/>
    </row>
    <row r="53" spans="4:38" ht="15">
      <c r="D53" s="17"/>
      <c r="E53" s="259"/>
      <c r="F53" s="259"/>
      <c r="G53" s="259"/>
      <c r="H53" s="259"/>
      <c r="I53" s="259"/>
      <c r="J53" s="18"/>
      <c r="K53" s="18"/>
      <c r="L53" s="18"/>
      <c r="M53" s="18"/>
      <c r="N53" s="19"/>
      <c r="T53">
        <v>19</v>
      </c>
      <c r="U53" t="b">
        <f>AND(LEN(AJ22)&gt;0)</f>
        <v>0</v>
      </c>
      <c r="V53" s="18" t="b">
        <f t="shared" si="1"/>
        <v>0</v>
      </c>
      <c r="AA53" s="17"/>
      <c r="AB53" s="313"/>
      <c r="AC53" s="314"/>
      <c r="AD53" s="314"/>
      <c r="AE53" s="314"/>
      <c r="AF53" s="314"/>
      <c r="AG53" s="314"/>
      <c r="AH53" s="314"/>
      <c r="AI53" s="314"/>
      <c r="AJ53" s="315"/>
      <c r="AK53" s="19"/>
    </row>
    <row r="54" spans="4:38" ht="19.5">
      <c r="D54" s="17"/>
      <c r="E54" s="260" t="s">
        <v>3452</v>
      </c>
      <c r="M54" s="18"/>
      <c r="N54" s="19"/>
      <c r="T54">
        <v>20</v>
      </c>
      <c r="U54" t="b">
        <f>AND(LEN(AD33)&gt;0)</f>
        <v>0</v>
      </c>
      <c r="V54" s="18" t="b">
        <f t="shared" si="1"/>
        <v>0</v>
      </c>
      <c r="AA54" s="17"/>
      <c r="AB54" s="18"/>
      <c r="AC54" s="18"/>
      <c r="AD54" s="18"/>
      <c r="AE54" s="18"/>
      <c r="AF54" s="18"/>
      <c r="AG54" s="18"/>
      <c r="AH54" s="18"/>
      <c r="AI54" s="18"/>
      <c r="AJ54" s="18"/>
      <c r="AK54" s="19"/>
    </row>
    <row r="55" spans="4:38" ht="15">
      <c r="D55" s="17"/>
      <c r="E55" s="267"/>
      <c r="F55" s="272"/>
      <c r="G55" s="272"/>
      <c r="H55" s="272"/>
      <c r="I55" s="268"/>
      <c r="M55" s="18"/>
      <c r="N55" s="19"/>
      <c r="T55">
        <v>21</v>
      </c>
      <c r="V55" s="18"/>
      <c r="AA55" s="17"/>
      <c r="AB55" s="18"/>
      <c r="AC55" s="18"/>
      <c r="AD55" s="18"/>
      <c r="AE55" s="18"/>
      <c r="AF55" s="18"/>
      <c r="AG55" s="18"/>
      <c r="AH55" s="18"/>
      <c r="AI55" s="18"/>
      <c r="AJ55" s="18"/>
      <c r="AK55" s="19"/>
    </row>
    <row r="56" spans="4:38" ht="15">
      <c r="D56" s="17"/>
      <c r="E56" s="261"/>
      <c r="F56" s="261"/>
      <c r="G56" s="261"/>
      <c r="H56" s="261"/>
      <c r="I56" s="261"/>
      <c r="J56" s="261"/>
      <c r="K56" s="261"/>
      <c r="L56" s="261"/>
      <c r="M56" s="261"/>
      <c r="N56" s="262"/>
      <c r="T56">
        <v>22</v>
      </c>
      <c r="V56" s="18"/>
      <c r="AA56" s="17"/>
      <c r="AB56" s="18"/>
      <c r="AC56" s="18"/>
      <c r="AD56" s="18"/>
      <c r="AE56" s="18"/>
      <c r="AF56" s="18"/>
      <c r="AG56" s="18"/>
      <c r="AH56" s="18"/>
      <c r="AI56" s="18"/>
      <c r="AJ56" s="18"/>
      <c r="AK56" s="19"/>
    </row>
    <row r="57" spans="4:38" ht="17.45" customHeight="1">
      <c r="D57" s="17"/>
      <c r="E57" s="261"/>
      <c r="F57" s="261"/>
      <c r="G57" s="261"/>
      <c r="H57" s="261"/>
      <c r="I57" s="261"/>
      <c r="J57" s="261"/>
      <c r="K57" s="261"/>
      <c r="L57" s="261"/>
      <c r="M57" s="261"/>
      <c r="N57" s="262"/>
      <c r="T57">
        <v>23</v>
      </c>
      <c r="V57" s="18"/>
      <c r="AA57" s="17"/>
      <c r="AB57" s="18"/>
      <c r="AC57" s="18"/>
      <c r="AD57" s="18"/>
      <c r="AE57" s="18"/>
      <c r="AF57" s="18"/>
      <c r="AG57" s="18"/>
      <c r="AH57" s="18"/>
      <c r="AI57" s="18"/>
      <c r="AJ57" s="18"/>
      <c r="AK57" s="19"/>
    </row>
    <row r="58" spans="4:38" ht="19.5">
      <c r="D58" s="17"/>
      <c r="E58" s="263" t="s">
        <v>3260</v>
      </c>
      <c r="F58" s="261"/>
      <c r="G58" s="261"/>
      <c r="H58" s="261" t="s">
        <v>3454</v>
      </c>
      <c r="I58" s="261"/>
      <c r="J58" s="261"/>
      <c r="K58" s="261"/>
      <c r="L58" s="261"/>
      <c r="M58" s="261"/>
      <c r="N58" s="262"/>
      <c r="T58">
        <v>24</v>
      </c>
      <c r="V58" s="18"/>
      <c r="AA58" s="17"/>
      <c r="AB58" s="18"/>
      <c r="AC58" s="18"/>
      <c r="AD58" s="18"/>
      <c r="AE58" s="18"/>
      <c r="AF58" s="18"/>
      <c r="AG58" s="18"/>
      <c r="AH58" s="18"/>
      <c r="AI58" s="18"/>
      <c r="AJ58" s="18"/>
      <c r="AK58" s="19"/>
    </row>
    <row r="59" spans="4:38" ht="15.75" thickBot="1">
      <c r="D59" s="17"/>
      <c r="E59" s="360"/>
      <c r="F59" s="361"/>
      <c r="G59" s="361"/>
      <c r="H59" s="361"/>
      <c r="I59" s="361"/>
      <c r="J59" s="361"/>
      <c r="K59" s="361"/>
      <c r="L59" s="362"/>
      <c r="M59" s="261"/>
      <c r="N59" s="262"/>
      <c r="T59">
        <v>25</v>
      </c>
      <c r="V59" s="18"/>
      <c r="AA59" s="20"/>
      <c r="AB59" s="21"/>
      <c r="AC59" s="21"/>
      <c r="AD59" s="21"/>
      <c r="AE59" s="21"/>
      <c r="AF59" s="21"/>
      <c r="AG59" s="21"/>
      <c r="AH59" s="21"/>
      <c r="AI59" s="21"/>
      <c r="AJ59" s="21"/>
      <c r="AK59" s="22"/>
    </row>
    <row r="60" spans="4:38" ht="15">
      <c r="D60" s="17"/>
      <c r="E60" s="363"/>
      <c r="F60" s="364"/>
      <c r="G60" s="364"/>
      <c r="H60" s="364"/>
      <c r="I60" s="364"/>
      <c r="J60" s="364"/>
      <c r="K60" s="364"/>
      <c r="L60" s="365"/>
      <c r="M60" s="261"/>
      <c r="N60" s="262"/>
      <c r="T60">
        <v>26</v>
      </c>
      <c r="V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</row>
    <row r="61" spans="4:38" ht="15">
      <c r="D61" s="17"/>
      <c r="E61" s="366"/>
      <c r="F61" s="367"/>
      <c r="G61" s="367"/>
      <c r="H61" s="367"/>
      <c r="I61" s="367"/>
      <c r="J61" s="367"/>
      <c r="K61" s="367"/>
      <c r="L61" s="368"/>
      <c r="M61" s="261"/>
      <c r="N61" s="262"/>
      <c r="T61">
        <v>27</v>
      </c>
      <c r="V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</row>
    <row r="62" spans="4:38" ht="15">
      <c r="D62" s="17"/>
      <c r="I62" s="18"/>
      <c r="J62" s="18"/>
      <c r="K62" s="18"/>
      <c r="L62" s="18"/>
      <c r="M62" s="18"/>
      <c r="N62" s="19"/>
      <c r="T62">
        <v>28</v>
      </c>
      <c r="V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</row>
    <row r="63" spans="4:38" ht="15">
      <c r="D63" s="17"/>
      <c r="I63" s="18"/>
      <c r="J63" s="18"/>
      <c r="K63" s="18"/>
      <c r="L63" s="18"/>
      <c r="M63" s="18"/>
      <c r="N63" s="19"/>
      <c r="T63">
        <v>29</v>
      </c>
      <c r="U63" t="b">
        <f>AND(LEN(AB46)&gt;0)</f>
        <v>0</v>
      </c>
      <c r="V63" s="18" t="b">
        <f t="shared" si="1"/>
        <v>0</v>
      </c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</row>
    <row r="64" spans="4:38" ht="19.5">
      <c r="D64" s="17"/>
      <c r="E64" s="205" t="s">
        <v>3434</v>
      </c>
      <c r="F64" s="18"/>
      <c r="G64" s="18"/>
      <c r="H64" s="18"/>
      <c r="I64" s="18"/>
      <c r="J64" s="18"/>
      <c r="K64" s="18"/>
      <c r="L64" s="18"/>
      <c r="M64" s="18"/>
      <c r="N64" s="19"/>
      <c r="T64">
        <v>30</v>
      </c>
      <c r="U64" t="b">
        <f>AND(IF(LEN(AB46)&gt;0,LEN(AF46)&gt;0))</f>
        <v>0</v>
      </c>
      <c r="V64" s="18" t="b">
        <f t="shared" si="1"/>
        <v>0</v>
      </c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</row>
    <row r="65" spans="4:38" ht="15">
      <c r="D65" s="17"/>
      <c r="E65" s="354"/>
      <c r="F65" s="355"/>
      <c r="G65" s="356"/>
      <c r="H65" s="204">
        <f ca="1">TODAY()</f>
        <v>44046</v>
      </c>
      <c r="I65" s="18"/>
      <c r="J65" s="18"/>
      <c r="K65" s="18"/>
      <c r="L65" s="18"/>
      <c r="M65" s="18"/>
      <c r="N65" s="19"/>
      <c r="T65">
        <v>31</v>
      </c>
      <c r="V65" s="18"/>
      <c r="Z65" s="1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18"/>
    </row>
    <row r="66" spans="4:38" ht="15.75" thickBot="1">
      <c r="D66" s="20"/>
      <c r="E66" s="21"/>
      <c r="F66" s="21"/>
      <c r="G66" s="21"/>
      <c r="H66" s="21"/>
      <c r="I66" s="21"/>
      <c r="J66" s="21"/>
      <c r="K66" s="21"/>
      <c r="L66" s="21"/>
      <c r="M66" s="21"/>
      <c r="N66" s="22"/>
      <c r="T66">
        <v>32</v>
      </c>
      <c r="V66" s="18"/>
    </row>
    <row r="67" spans="4:38" ht="15">
      <c r="T67">
        <v>33</v>
      </c>
      <c r="V67" s="18"/>
    </row>
    <row r="68" spans="4:38" ht="15">
      <c r="T68">
        <v>34</v>
      </c>
      <c r="V68" s="18"/>
    </row>
    <row r="69" spans="4:38" ht="15">
      <c r="T69">
        <v>35</v>
      </c>
      <c r="V69" s="18"/>
    </row>
    <row r="70" spans="4:38" ht="15">
      <c r="AC70" s="31"/>
      <c r="AD70" s="31"/>
      <c r="AE70" s="31"/>
      <c r="AF70" s="31"/>
      <c r="AG70" s="31"/>
      <c r="AH70" s="31"/>
      <c r="AI70" s="31"/>
      <c r="AJ70" s="31"/>
      <c r="AK70" s="31"/>
      <c r="AL70" s="18"/>
    </row>
    <row r="71" spans="4:38" ht="15">
      <c r="D71" s="32" t="s">
        <v>3383</v>
      </c>
      <c r="AC71" s="31"/>
      <c r="AD71" s="31"/>
      <c r="AE71" s="31"/>
      <c r="AF71" s="31"/>
      <c r="AG71" s="31"/>
      <c r="AH71" s="31"/>
      <c r="AI71" s="31"/>
      <c r="AJ71" s="31"/>
      <c r="AK71" s="31"/>
      <c r="AL71" s="18"/>
    </row>
    <row r="72" spans="4:38" ht="15">
      <c r="D72" s="32" t="s">
        <v>3384</v>
      </c>
      <c r="AC72" s="31"/>
      <c r="AD72" s="31"/>
      <c r="AE72" s="31"/>
      <c r="AF72" s="31"/>
      <c r="AG72" s="31"/>
      <c r="AH72" s="31"/>
      <c r="AI72" s="31"/>
      <c r="AJ72" s="31"/>
      <c r="AK72" s="31"/>
      <c r="AL72" s="18"/>
    </row>
    <row r="73" spans="4:38" ht="15.75" thickBot="1">
      <c r="AC73" s="31"/>
      <c r="AD73" s="31"/>
      <c r="AE73" s="31"/>
      <c r="AF73" s="31"/>
      <c r="AG73" s="31"/>
      <c r="AH73" s="31"/>
      <c r="AI73" s="31"/>
      <c r="AJ73" s="31"/>
      <c r="AK73" s="31"/>
      <c r="AL73" s="18"/>
    </row>
    <row r="74" spans="4:38" ht="15">
      <c r="D74" s="178" t="s">
        <v>3410</v>
      </c>
      <c r="E74" s="179"/>
      <c r="F74" s="190" t="s">
        <v>3413</v>
      </c>
      <c r="G74" s="179"/>
      <c r="H74" s="179"/>
      <c r="I74" s="179"/>
      <c r="J74" s="179"/>
      <c r="K74" s="179"/>
      <c r="L74" s="179"/>
      <c r="M74" s="179"/>
      <c r="N74" s="180"/>
      <c r="AC74" s="31"/>
      <c r="AD74" s="31"/>
      <c r="AE74" s="31"/>
      <c r="AF74" s="31"/>
      <c r="AG74" s="31"/>
      <c r="AH74" s="31"/>
      <c r="AI74" s="31"/>
      <c r="AJ74" s="31"/>
      <c r="AK74" s="31"/>
      <c r="AL74" s="18"/>
    </row>
    <row r="75" spans="4:38" ht="15">
      <c r="D75" s="17"/>
      <c r="E75" s="18"/>
      <c r="F75" s="18"/>
      <c r="G75" s="18"/>
      <c r="H75" s="18"/>
      <c r="I75" s="18"/>
      <c r="J75" s="18"/>
      <c r="K75" s="18"/>
      <c r="L75" s="18"/>
      <c r="M75" s="18"/>
      <c r="N75" s="19"/>
      <c r="T75" s="181" t="s">
        <v>3386</v>
      </c>
      <c r="V75" t="s">
        <v>3372</v>
      </c>
      <c r="AC75" s="31"/>
      <c r="AD75" s="31"/>
      <c r="AE75" s="31"/>
      <c r="AF75" s="31"/>
      <c r="AG75" s="31"/>
      <c r="AH75" s="31"/>
      <c r="AI75" s="31"/>
      <c r="AJ75" s="31"/>
      <c r="AK75" s="31"/>
      <c r="AL75" s="18"/>
    </row>
    <row r="76" spans="4:38" ht="15">
      <c r="D76" s="17"/>
      <c r="M76" s="18"/>
      <c r="N76" s="19"/>
      <c r="T76" s="32" t="s">
        <v>3416</v>
      </c>
      <c r="U76" s="32"/>
      <c r="AC76" s="31"/>
      <c r="AD76" s="31"/>
      <c r="AE76" s="31"/>
      <c r="AF76" s="31"/>
      <c r="AG76" s="31"/>
      <c r="AH76" s="31"/>
      <c r="AI76" s="31"/>
      <c r="AJ76" s="31"/>
      <c r="AK76" s="31"/>
      <c r="AL76" s="18"/>
    </row>
    <row r="77" spans="4:38" ht="15">
      <c r="D77" s="17"/>
      <c r="M77" s="18"/>
      <c r="N77" s="19"/>
      <c r="T77" t="s">
        <v>3410</v>
      </c>
      <c r="U77" t="s">
        <v>3387</v>
      </c>
      <c r="Z77" s="18"/>
      <c r="AA77" s="31"/>
      <c r="AB77" s="151"/>
      <c r="AC77" s="31"/>
      <c r="AD77" s="31"/>
      <c r="AE77" s="31"/>
      <c r="AF77" s="31"/>
      <c r="AG77" s="31"/>
      <c r="AH77" s="31"/>
      <c r="AI77" s="31"/>
      <c r="AJ77" s="31"/>
      <c r="AK77" s="31"/>
      <c r="AL77" s="18"/>
    </row>
    <row r="78" spans="4:38" ht="18" customHeight="1">
      <c r="D78" s="17"/>
      <c r="E78" s="18"/>
      <c r="F78" s="18"/>
      <c r="G78" s="18"/>
      <c r="H78" s="18"/>
      <c r="I78" s="18"/>
      <c r="J78" s="18"/>
      <c r="K78" s="18"/>
      <c r="L78" s="18"/>
      <c r="M78" s="18"/>
      <c r="N78" s="19"/>
      <c r="T78" s="177" t="s">
        <v>3365</v>
      </c>
      <c r="U78" s="177" t="s">
        <v>3364</v>
      </c>
      <c r="V78" s="177" t="s">
        <v>3361</v>
      </c>
      <c r="W78" s="177" t="s">
        <v>3362</v>
      </c>
      <c r="X78" s="177" t="s">
        <v>3385</v>
      </c>
      <c r="Y78" s="177" t="s">
        <v>3363</v>
      </c>
      <c r="Z78" s="18"/>
      <c r="AA78" s="31"/>
      <c r="AB78" s="151"/>
      <c r="AC78" s="31"/>
      <c r="AD78" s="31"/>
      <c r="AE78" s="31"/>
      <c r="AF78" s="31"/>
      <c r="AG78" s="31"/>
      <c r="AH78" s="31"/>
      <c r="AI78" s="31"/>
      <c r="AJ78" s="31"/>
      <c r="AK78" s="31"/>
      <c r="AL78" s="18"/>
    </row>
    <row r="79" spans="4:38" ht="30">
      <c r="D79" s="17"/>
      <c r="E79" s="159" t="s">
        <v>3309</v>
      </c>
      <c r="F79" s="18"/>
      <c r="G79" s="18"/>
      <c r="H79" s="18"/>
      <c r="I79" s="18"/>
      <c r="J79" s="18"/>
      <c r="K79" s="18"/>
      <c r="L79" s="18"/>
      <c r="M79" s="18"/>
      <c r="N79" s="19"/>
      <c r="T79" s="156">
        <v>10</v>
      </c>
      <c r="U79" s="27" t="s">
        <v>3308</v>
      </c>
      <c r="V79" s="29" t="s">
        <v>3388</v>
      </c>
      <c r="W79" s="27" t="s">
        <v>3224</v>
      </c>
      <c r="X79" s="153" t="s">
        <v>3393</v>
      </c>
      <c r="Y79" t="s">
        <v>3394</v>
      </c>
      <c r="Z79" s="18"/>
      <c r="AA79" s="31"/>
      <c r="AB79" s="151"/>
      <c r="AC79" s="31"/>
      <c r="AD79" s="31"/>
      <c r="AE79" s="31"/>
      <c r="AF79" s="31"/>
      <c r="AG79" s="31"/>
      <c r="AH79" s="31"/>
      <c r="AI79" s="31"/>
      <c r="AJ79" s="31"/>
      <c r="AK79" s="31"/>
      <c r="AL79" s="18"/>
    </row>
    <row r="80" spans="4:38" ht="45.75">
      <c r="D80" s="17"/>
      <c r="E80" s="357"/>
      <c r="F80" s="358"/>
      <c r="G80" s="358"/>
      <c r="H80" s="359"/>
      <c r="I80" s="18"/>
      <c r="J80" s="18"/>
      <c r="K80" s="18"/>
      <c r="L80" s="18"/>
      <c r="M80" s="18"/>
      <c r="N80" s="19"/>
      <c r="T80" s="156">
        <v>11</v>
      </c>
      <c r="U80" s="151" t="s">
        <v>3309</v>
      </c>
      <c r="V80" s="151" t="s">
        <v>3389</v>
      </c>
      <c r="W80" s="27" t="s">
        <v>3221</v>
      </c>
      <c r="X80" s="27"/>
      <c r="Y80" t="s">
        <v>3395</v>
      </c>
      <c r="Z80" s="18"/>
      <c r="AA80" s="31"/>
      <c r="AB80" s="151"/>
      <c r="AC80" s="78"/>
      <c r="AD80" s="78"/>
      <c r="AE80" s="78"/>
      <c r="AF80" s="78"/>
      <c r="AG80" s="78"/>
      <c r="AH80" s="78"/>
      <c r="AI80" s="78"/>
      <c r="AJ80" s="78"/>
      <c r="AK80" s="78"/>
      <c r="AL80" s="18"/>
    </row>
    <row r="81" spans="4:38" ht="16.899999999999999" customHeight="1">
      <c r="D81" s="17"/>
      <c r="E81" s="191" t="s">
        <v>3390</v>
      </c>
      <c r="F81" s="18"/>
      <c r="G81" s="18"/>
      <c r="H81" s="18"/>
      <c r="I81" s="18"/>
      <c r="J81" s="18"/>
      <c r="K81" s="18"/>
      <c r="L81" s="18"/>
      <c r="M81" s="18"/>
      <c r="N81" s="19"/>
      <c r="T81" s="156">
        <v>12</v>
      </c>
      <c r="U81" s="30" t="s">
        <v>3310</v>
      </c>
      <c r="V81" s="30" t="s">
        <v>3396</v>
      </c>
      <c r="W81" s="27" t="s">
        <v>3221</v>
      </c>
      <c r="X81" s="27"/>
      <c r="Z81" s="18"/>
      <c r="AA81" s="31"/>
      <c r="AB81" s="151"/>
      <c r="AC81" s="78"/>
      <c r="AD81" s="78"/>
      <c r="AE81" s="78"/>
      <c r="AF81" s="78"/>
      <c r="AG81" s="78"/>
      <c r="AH81" s="78"/>
      <c r="AI81" s="78"/>
      <c r="AJ81" s="78"/>
      <c r="AK81" s="78"/>
      <c r="AL81" s="18"/>
    </row>
    <row r="82" spans="4:38" ht="15">
      <c r="D82" s="17"/>
      <c r="E82" s="18"/>
      <c r="F82" s="18"/>
      <c r="G82" s="18"/>
      <c r="H82" s="18"/>
      <c r="I82" s="18"/>
      <c r="J82" s="18"/>
      <c r="K82" s="18"/>
      <c r="L82" s="18"/>
      <c r="M82" s="18"/>
      <c r="N82" s="19"/>
      <c r="T82" s="156">
        <v>13</v>
      </c>
      <c r="U82" s="30" t="s">
        <v>3311</v>
      </c>
      <c r="V82" s="30" t="s">
        <v>3398</v>
      </c>
      <c r="W82" s="31" t="s">
        <v>3221</v>
      </c>
      <c r="X82" s="27"/>
      <c r="Z82" s="18"/>
      <c r="AA82" s="31"/>
      <c r="AB82" s="31"/>
    </row>
    <row r="83" spans="4:38" ht="19.5">
      <c r="D83" s="17"/>
      <c r="E83" s="159" t="s">
        <v>3392</v>
      </c>
      <c r="F83" s="18"/>
      <c r="G83" s="18"/>
      <c r="H83" s="18"/>
      <c r="I83" s="18"/>
      <c r="J83" s="18"/>
      <c r="K83" s="18"/>
      <c r="L83" s="18"/>
      <c r="M83" s="18"/>
      <c r="N83" s="19"/>
      <c r="T83" s="156">
        <v>14</v>
      </c>
      <c r="U83" s="30" t="s">
        <v>3418</v>
      </c>
      <c r="V83" s="30" t="s">
        <v>3417</v>
      </c>
      <c r="W83" s="27"/>
      <c r="X83" s="27"/>
      <c r="Z83" s="18"/>
      <c r="AA83" s="31"/>
      <c r="AB83" s="31"/>
    </row>
    <row r="84" spans="4:38" ht="18.75">
      <c r="D84" s="17"/>
      <c r="E84" s="357"/>
      <c r="F84" s="358"/>
      <c r="G84" s="358"/>
      <c r="H84" s="359"/>
      <c r="I84" s="18"/>
      <c r="J84" s="18"/>
      <c r="K84" s="18"/>
      <c r="L84" s="18"/>
      <c r="M84" s="18"/>
      <c r="N84" s="19"/>
      <c r="T84" s="156">
        <v>15</v>
      </c>
      <c r="U84" s="30" t="s">
        <v>3312</v>
      </c>
      <c r="V84" s="30" t="s">
        <v>3401</v>
      </c>
      <c r="W84" s="27" t="s">
        <v>3224</v>
      </c>
      <c r="X84" s="27"/>
      <c r="Y84" s="27" t="s">
        <v>3347</v>
      </c>
      <c r="Z84" s="18"/>
      <c r="AA84" s="31"/>
      <c r="AB84" s="31"/>
    </row>
    <row r="85" spans="4:38" ht="30">
      <c r="D85" s="17"/>
      <c r="E85" s="18"/>
      <c r="F85" s="18"/>
      <c r="G85" s="18"/>
      <c r="H85" s="18"/>
      <c r="I85" s="18"/>
      <c r="J85" s="18"/>
      <c r="K85" s="18"/>
      <c r="L85" s="18"/>
      <c r="M85" s="18"/>
      <c r="N85" s="19"/>
      <c r="T85" s="156">
        <v>16</v>
      </c>
      <c r="U85" s="151" t="s">
        <v>3313</v>
      </c>
      <c r="V85" s="151" t="s">
        <v>3402</v>
      </c>
      <c r="W85" s="27" t="s">
        <v>3224</v>
      </c>
      <c r="X85" s="154" t="s">
        <v>3419</v>
      </c>
      <c r="Z85" s="18"/>
      <c r="AA85" s="31"/>
      <c r="AB85" s="31"/>
    </row>
    <row r="86" spans="4:38" ht="19.5">
      <c r="D86" s="17"/>
      <c r="E86" s="159" t="s">
        <v>3397</v>
      </c>
      <c r="F86" s="18"/>
      <c r="G86" s="18"/>
      <c r="H86" s="18"/>
      <c r="I86" s="18"/>
      <c r="J86" s="18"/>
      <c r="K86" s="18"/>
      <c r="L86" s="18"/>
      <c r="M86" s="18"/>
      <c r="N86" s="19"/>
      <c r="T86" s="156">
        <v>17</v>
      </c>
      <c r="U86" s="151" t="s">
        <v>3348</v>
      </c>
      <c r="V86" s="30" t="s">
        <v>3353</v>
      </c>
      <c r="W86" s="27" t="s">
        <v>3425</v>
      </c>
      <c r="X86" s="27"/>
      <c r="Y86" s="27"/>
      <c r="Z86" s="18"/>
      <c r="AA86" s="31"/>
      <c r="AB86" s="31"/>
    </row>
    <row r="87" spans="4:38" ht="18.75">
      <c r="D87" s="17"/>
      <c r="E87" s="357"/>
      <c r="F87" s="358"/>
      <c r="G87" s="358"/>
      <c r="H87" s="359"/>
      <c r="I87" s="18"/>
      <c r="J87" s="18"/>
      <c r="K87" s="18"/>
      <c r="L87" s="18"/>
      <c r="M87" s="18"/>
      <c r="N87" s="19"/>
      <c r="T87" s="156">
        <v>18</v>
      </c>
      <c r="U87" s="151" t="s">
        <v>3314</v>
      </c>
      <c r="V87" s="30" t="s">
        <v>3354</v>
      </c>
      <c r="W87" s="27" t="s">
        <v>3425</v>
      </c>
      <c r="X87" s="27"/>
      <c r="Y87" t="s">
        <v>3315</v>
      </c>
      <c r="Z87" s="18"/>
      <c r="AA87" s="78"/>
      <c r="AB87" s="78"/>
    </row>
    <row r="88" spans="4:38" ht="15">
      <c r="D88" s="17"/>
      <c r="E88" s="18"/>
      <c r="F88" s="18"/>
      <c r="G88" s="18"/>
      <c r="H88" s="18"/>
      <c r="I88" s="18"/>
      <c r="J88" s="18"/>
      <c r="K88" s="18"/>
      <c r="L88" s="18"/>
      <c r="M88" s="18"/>
      <c r="N88" s="19"/>
      <c r="T88" s="156">
        <v>19</v>
      </c>
      <c r="U88" s="35" t="s">
        <v>3317</v>
      </c>
      <c r="V88" s="35" t="s">
        <v>3355</v>
      </c>
      <c r="W88" s="34" t="s">
        <v>3224</v>
      </c>
      <c r="X88" s="155" t="s">
        <v>3420</v>
      </c>
      <c r="Z88" s="18"/>
      <c r="AA88" s="78"/>
      <c r="AB88" s="78"/>
    </row>
    <row r="89" spans="4:38" ht="19.5">
      <c r="D89" s="17"/>
      <c r="E89" s="160" t="s">
        <v>3418</v>
      </c>
      <c r="F89" s="18"/>
      <c r="G89" s="18"/>
      <c r="H89" s="18"/>
      <c r="I89" s="18"/>
      <c r="J89" s="18"/>
      <c r="K89" s="18"/>
      <c r="L89" s="18"/>
      <c r="M89" s="18"/>
      <c r="N89" s="19"/>
      <c r="T89" s="156">
        <v>20</v>
      </c>
      <c r="U89" s="150" t="s">
        <v>3318</v>
      </c>
      <c r="V89" s="150" t="s">
        <v>3318</v>
      </c>
      <c r="W89" s="34" t="s">
        <v>3307</v>
      </c>
      <c r="X89" s="34"/>
      <c r="Y89" t="s">
        <v>3320</v>
      </c>
    </row>
    <row r="90" spans="4:38" ht="30">
      <c r="D90" s="17"/>
      <c r="E90" s="267"/>
      <c r="F90" s="272"/>
      <c r="G90" s="272"/>
      <c r="H90" s="268"/>
      <c r="I90" s="18"/>
      <c r="J90" s="18"/>
      <c r="K90" s="18"/>
      <c r="L90" s="18"/>
      <c r="M90" s="18"/>
      <c r="N90" s="19"/>
      <c r="T90" s="156">
        <v>21</v>
      </c>
      <c r="U90" s="150" t="s">
        <v>3319</v>
      </c>
      <c r="V90" s="150" t="s">
        <v>3319</v>
      </c>
      <c r="W90" s="34" t="s">
        <v>3307</v>
      </c>
      <c r="X90" s="34"/>
      <c r="Y90" t="s">
        <v>3320</v>
      </c>
    </row>
    <row r="91" spans="4:38" ht="30">
      <c r="D91" s="17"/>
      <c r="E91" s="18"/>
      <c r="F91" s="18"/>
      <c r="G91" s="18"/>
      <c r="H91" s="18"/>
      <c r="I91" s="18"/>
      <c r="J91" s="18"/>
      <c r="K91" s="18"/>
      <c r="L91" s="18"/>
      <c r="M91" s="18"/>
      <c r="N91" s="19"/>
      <c r="T91" s="156">
        <v>22</v>
      </c>
      <c r="U91" s="150" t="s">
        <v>3321</v>
      </c>
      <c r="V91" s="35" t="s">
        <v>3352</v>
      </c>
      <c r="W91" s="34" t="s">
        <v>3307</v>
      </c>
      <c r="X91" s="34"/>
      <c r="Y91" t="s">
        <v>3320</v>
      </c>
    </row>
    <row r="92" spans="4:38" ht="19.5">
      <c r="D92" s="17"/>
      <c r="E92" s="159" t="s">
        <v>3399</v>
      </c>
      <c r="F92" s="18"/>
      <c r="G92" s="18"/>
      <c r="H92" s="18"/>
      <c r="I92" s="18"/>
      <c r="J92" s="18"/>
      <c r="K92" s="18"/>
      <c r="L92" s="18"/>
      <c r="M92" s="18"/>
      <c r="N92" s="19"/>
      <c r="T92" s="156">
        <v>23</v>
      </c>
      <c r="U92" s="150" t="s">
        <v>3322</v>
      </c>
      <c r="V92" s="35" t="s">
        <v>3421</v>
      </c>
      <c r="W92" s="34" t="s">
        <v>3307</v>
      </c>
      <c r="X92" s="34"/>
      <c r="Y92" t="s">
        <v>3320</v>
      </c>
    </row>
    <row r="93" spans="4:38" ht="15.75">
      <c r="D93" s="17"/>
      <c r="E93" s="343"/>
      <c r="F93" s="344"/>
      <c r="G93" s="344"/>
      <c r="H93" s="344"/>
      <c r="I93" s="344"/>
      <c r="J93" s="344"/>
      <c r="K93" s="344"/>
      <c r="L93" s="345"/>
      <c r="M93" s="18"/>
      <c r="N93" s="19"/>
      <c r="T93" s="156">
        <v>24</v>
      </c>
      <c r="U93" s="150" t="s">
        <v>3323</v>
      </c>
      <c r="V93" s="35" t="s">
        <v>3356</v>
      </c>
      <c r="W93" s="34" t="s">
        <v>3307</v>
      </c>
      <c r="X93" s="34"/>
      <c r="Y93" t="s">
        <v>3320</v>
      </c>
    </row>
    <row r="94" spans="4:38" ht="30">
      <c r="D94" s="17"/>
      <c r="E94" s="18"/>
      <c r="F94" s="18"/>
      <c r="G94" s="18"/>
      <c r="H94" s="18"/>
      <c r="I94" s="18"/>
      <c r="J94" s="18"/>
      <c r="K94" s="18"/>
      <c r="L94" s="18"/>
      <c r="M94" s="18"/>
      <c r="N94" s="19"/>
      <c r="T94" s="156">
        <v>25</v>
      </c>
      <c r="U94" s="151" t="s">
        <v>3324</v>
      </c>
      <c r="V94" s="151" t="s">
        <v>3324</v>
      </c>
      <c r="W94" t="s">
        <v>3224</v>
      </c>
      <c r="X94" t="s">
        <v>3114</v>
      </c>
      <c r="Y94" t="s">
        <v>3325</v>
      </c>
    </row>
    <row r="95" spans="4:38" ht="19.5">
      <c r="D95" s="17"/>
      <c r="E95" s="159" t="s">
        <v>3400</v>
      </c>
      <c r="F95" s="18"/>
      <c r="G95" s="18"/>
      <c r="H95" s="18"/>
      <c r="I95" s="18"/>
      <c r="J95" s="18"/>
      <c r="K95" s="18"/>
      <c r="L95" s="18"/>
      <c r="M95" s="18"/>
      <c r="N95" s="19"/>
      <c r="T95" s="156">
        <v>26</v>
      </c>
      <c r="U95" s="30" t="s">
        <v>3326</v>
      </c>
      <c r="V95" s="30" t="s">
        <v>3422</v>
      </c>
      <c r="W95" s="27" t="s">
        <v>3307</v>
      </c>
      <c r="X95" s="27"/>
    </row>
    <row r="96" spans="4:38" ht="15.75">
      <c r="D96" s="17"/>
      <c r="E96" s="343"/>
      <c r="F96" s="344"/>
      <c r="G96" s="344"/>
      <c r="H96" s="344"/>
      <c r="I96" s="344"/>
      <c r="J96" s="344"/>
      <c r="K96" s="344"/>
      <c r="L96" s="345"/>
      <c r="M96" s="18"/>
      <c r="N96" s="19"/>
      <c r="T96" s="156">
        <v>27</v>
      </c>
      <c r="U96" s="151" t="s">
        <v>3327</v>
      </c>
      <c r="V96" s="151" t="s">
        <v>3327</v>
      </c>
      <c r="W96" s="27" t="s">
        <v>3426</v>
      </c>
      <c r="X96" s="27" t="s">
        <v>3328</v>
      </c>
    </row>
    <row r="97" spans="4:25" ht="30">
      <c r="D97" s="17"/>
      <c r="E97" s="18"/>
      <c r="F97" s="18"/>
      <c r="G97" s="18"/>
      <c r="H97" s="18"/>
      <c r="I97" s="18"/>
      <c r="J97" s="18"/>
      <c r="K97" s="18"/>
      <c r="L97" s="18"/>
      <c r="M97" s="18"/>
      <c r="N97" s="19"/>
      <c r="T97" s="156">
        <v>28</v>
      </c>
      <c r="U97" s="151" t="s">
        <v>3329</v>
      </c>
      <c r="V97" s="30" t="s">
        <v>3423</v>
      </c>
      <c r="W97" s="27" t="s">
        <v>3424</v>
      </c>
      <c r="X97" t="s">
        <v>3316</v>
      </c>
    </row>
    <row r="98" spans="4:25" ht="19.5">
      <c r="D98" s="17"/>
      <c r="E98" s="159" t="s">
        <v>3403</v>
      </c>
      <c r="F98" s="18"/>
      <c r="G98" s="182"/>
      <c r="H98" s="18"/>
      <c r="I98" s="18"/>
      <c r="J98" s="18"/>
      <c r="K98" s="18"/>
      <c r="L98" s="18"/>
      <c r="M98" s="18"/>
      <c r="N98" s="19"/>
      <c r="T98" s="156">
        <v>29</v>
      </c>
      <c r="U98" s="152" t="s">
        <v>3331</v>
      </c>
      <c r="V98" s="35" t="s">
        <v>3357</v>
      </c>
      <c r="W98" s="34"/>
      <c r="X98" s="34"/>
      <c r="Y98" t="s">
        <v>3330</v>
      </c>
    </row>
    <row r="99" spans="4:25" ht="15">
      <c r="D99" s="17"/>
      <c r="E99" s="18"/>
      <c r="F99" s="18"/>
      <c r="G99" s="18"/>
      <c r="H99" s="18"/>
      <c r="I99" s="18"/>
      <c r="J99" s="18"/>
      <c r="K99" s="18"/>
      <c r="L99" s="18"/>
      <c r="M99" s="18"/>
      <c r="N99" s="19"/>
      <c r="T99" s="156">
        <v>30</v>
      </c>
      <c r="U99" t="s">
        <v>3260</v>
      </c>
      <c r="V99" t="s">
        <v>3427</v>
      </c>
    </row>
    <row r="100" spans="4:25" ht="19.5">
      <c r="D100" s="17"/>
      <c r="E100" s="192" t="s">
        <v>3404</v>
      </c>
      <c r="F100" s="193"/>
      <c r="G100" s="183"/>
      <c r="H100" s="18"/>
      <c r="I100" s="18"/>
      <c r="J100" s="18"/>
      <c r="K100" s="18"/>
      <c r="L100" s="18"/>
      <c r="M100" s="18"/>
      <c r="N100" s="19"/>
    </row>
    <row r="101" spans="4:25" ht="15">
      <c r="D101" s="17"/>
      <c r="E101" s="191" t="s">
        <v>3405</v>
      </c>
      <c r="F101" s="18"/>
      <c r="G101" s="18"/>
      <c r="H101" s="18"/>
      <c r="I101" s="18"/>
      <c r="J101" s="18"/>
      <c r="K101" s="18"/>
      <c r="L101" s="18"/>
      <c r="M101" s="18"/>
      <c r="N101" s="19"/>
    </row>
    <row r="102" spans="4:25" ht="15">
      <c r="D102" s="17"/>
      <c r="E102" s="18"/>
      <c r="F102" s="92"/>
      <c r="G102" s="92"/>
      <c r="H102" s="92"/>
      <c r="I102" s="92"/>
      <c r="J102" s="92"/>
      <c r="K102" s="92"/>
      <c r="L102" s="92"/>
      <c r="M102" s="18"/>
      <c r="N102" s="19"/>
    </row>
    <row r="103" spans="4:25" ht="19.5">
      <c r="D103" s="17"/>
      <c r="E103" s="18"/>
      <c r="F103" s="92"/>
      <c r="G103" s="346" t="s">
        <v>3318</v>
      </c>
      <c r="H103" s="346"/>
      <c r="I103" s="92"/>
      <c r="J103" s="185">
        <v>0</v>
      </c>
      <c r="K103" s="194"/>
      <c r="L103" s="194"/>
      <c r="M103" s="195"/>
      <c r="N103" s="19"/>
    </row>
    <row r="104" spans="4:25" ht="19.5">
      <c r="D104" s="17"/>
      <c r="E104" s="18"/>
      <c r="F104" s="92"/>
      <c r="G104" s="186"/>
      <c r="H104" s="187"/>
      <c r="I104" s="92"/>
      <c r="J104" s="35"/>
      <c r="K104" s="92"/>
      <c r="L104" s="92"/>
      <c r="M104" s="18"/>
      <c r="N104" s="19"/>
    </row>
    <row r="105" spans="4:25" ht="19.5">
      <c r="D105" s="17"/>
      <c r="E105" s="18"/>
      <c r="F105" s="92"/>
      <c r="G105" s="187" t="s">
        <v>3319</v>
      </c>
      <c r="H105" s="187"/>
      <c r="I105" s="92"/>
      <c r="J105" s="184">
        <v>0</v>
      </c>
      <c r="K105" s="92"/>
      <c r="L105" s="92"/>
      <c r="M105" s="18"/>
      <c r="N105" s="19"/>
    </row>
    <row r="106" spans="4:25" ht="19.5">
      <c r="D106" s="17"/>
      <c r="E106" s="18"/>
      <c r="F106" s="92"/>
      <c r="G106" s="186"/>
      <c r="H106" s="187"/>
      <c r="I106" s="92"/>
      <c r="J106" s="35"/>
      <c r="K106" s="92"/>
      <c r="L106" s="92"/>
      <c r="M106" s="18"/>
      <c r="N106" s="19"/>
    </row>
    <row r="107" spans="4:25" ht="19.5">
      <c r="D107" s="17"/>
      <c r="E107" s="18"/>
      <c r="F107" s="92"/>
      <c r="G107" s="187" t="s">
        <v>3321</v>
      </c>
      <c r="H107" s="187"/>
      <c r="I107" s="92"/>
      <c r="J107" s="184">
        <v>0</v>
      </c>
      <c r="K107" s="92"/>
      <c r="L107" s="92"/>
      <c r="M107" s="18"/>
      <c r="N107" s="19"/>
      <c r="T107" s="32"/>
    </row>
    <row r="108" spans="4:25" ht="19.5">
      <c r="D108" s="17"/>
      <c r="E108" s="18"/>
      <c r="F108" s="92"/>
      <c r="G108" s="187"/>
      <c r="H108" s="187"/>
      <c r="I108" s="92"/>
      <c r="J108" s="35"/>
      <c r="K108" s="92"/>
      <c r="L108" s="92"/>
      <c r="M108" s="18"/>
      <c r="N108" s="19"/>
      <c r="T108" s="32"/>
    </row>
    <row r="109" spans="4:25" ht="19.899999999999999" customHeight="1">
      <c r="D109" s="17"/>
      <c r="E109" s="18"/>
      <c r="F109" s="92"/>
      <c r="G109" s="187" t="s">
        <v>3322</v>
      </c>
      <c r="H109" s="187"/>
      <c r="I109" s="92"/>
      <c r="J109" s="184">
        <v>0</v>
      </c>
      <c r="K109" s="92"/>
      <c r="L109" s="92"/>
      <c r="M109" s="18"/>
      <c r="N109" s="19"/>
      <c r="T109" s="32"/>
    </row>
    <row r="110" spans="4:25" ht="19.5">
      <c r="D110" s="17"/>
      <c r="E110" s="18"/>
      <c r="F110" s="92"/>
      <c r="G110" s="187"/>
      <c r="H110" s="187"/>
      <c r="I110" s="92"/>
      <c r="J110" s="35"/>
      <c r="K110" s="92"/>
      <c r="L110" s="92"/>
      <c r="M110" s="18"/>
      <c r="N110" s="19"/>
      <c r="T110" s="32"/>
    </row>
    <row r="111" spans="4:25" ht="19.5">
      <c r="D111" s="17"/>
      <c r="E111" s="18"/>
      <c r="F111" s="92"/>
      <c r="G111" s="187" t="s">
        <v>3323</v>
      </c>
      <c r="H111" s="187"/>
      <c r="I111" s="92"/>
      <c r="J111" s="184">
        <v>0</v>
      </c>
      <c r="K111" s="92"/>
      <c r="L111" s="92"/>
      <c r="M111" s="18"/>
      <c r="N111" s="19"/>
      <c r="T111" s="32"/>
    </row>
    <row r="112" spans="4:25" ht="15">
      <c r="D112" s="17"/>
      <c r="E112" s="18"/>
      <c r="F112" s="92"/>
      <c r="G112" s="150"/>
      <c r="H112" s="35"/>
      <c r="I112" s="92"/>
      <c r="J112" s="35"/>
      <c r="K112" s="92"/>
      <c r="L112" s="92"/>
      <c r="M112" s="18"/>
      <c r="N112" s="19"/>
      <c r="T112" s="32"/>
    </row>
    <row r="113" spans="4:20" ht="15">
      <c r="D113" s="17"/>
      <c r="E113" s="18"/>
      <c r="F113" s="18"/>
      <c r="G113" s="18"/>
      <c r="H113" s="18"/>
      <c r="I113" s="18"/>
      <c r="J113" s="18"/>
      <c r="K113" s="18"/>
      <c r="L113" s="18"/>
      <c r="M113" s="18"/>
      <c r="N113" s="19"/>
      <c r="T113" s="32"/>
    </row>
    <row r="114" spans="4:20" ht="19.5">
      <c r="D114" s="17"/>
      <c r="E114" s="347" t="s">
        <v>3324</v>
      </c>
      <c r="F114" s="347"/>
      <c r="G114" s="18"/>
      <c r="H114" s="18"/>
      <c r="I114" s="18"/>
      <c r="J114" s="18"/>
      <c r="K114" s="18"/>
      <c r="L114" s="18"/>
      <c r="M114" s="18"/>
      <c r="N114" s="19"/>
      <c r="T114" s="32"/>
    </row>
    <row r="115" spans="4:20" ht="15.75">
      <c r="D115" s="17"/>
      <c r="E115" s="189"/>
      <c r="F115" s="343"/>
      <c r="G115" s="344"/>
      <c r="H115" s="344"/>
      <c r="I115" s="344"/>
      <c r="J115" s="344"/>
      <c r="K115" s="344"/>
      <c r="L115" s="344"/>
      <c r="M115" s="345"/>
      <c r="N115" s="19"/>
      <c r="T115" s="32"/>
    </row>
    <row r="116" spans="4:20" ht="15">
      <c r="D116" s="17"/>
      <c r="E116" s="191" t="s">
        <v>3325</v>
      </c>
      <c r="F116" s="18"/>
      <c r="G116" s="18"/>
      <c r="H116" s="18"/>
      <c r="I116" s="18"/>
      <c r="J116" s="18"/>
      <c r="K116" s="18"/>
      <c r="L116" s="18"/>
      <c r="M116" s="18"/>
      <c r="N116" s="19"/>
      <c r="T116" s="32"/>
    </row>
    <row r="117" spans="4:20" ht="15">
      <c r="D117" s="17"/>
      <c r="E117" s="18"/>
      <c r="F117" s="18"/>
      <c r="G117" s="18"/>
      <c r="H117" s="18"/>
      <c r="I117" s="18"/>
      <c r="J117" s="18"/>
      <c r="K117" s="18"/>
      <c r="L117" s="18"/>
      <c r="M117" s="18"/>
      <c r="N117" s="19"/>
      <c r="T117" s="32"/>
    </row>
    <row r="118" spans="4:20" ht="19.5">
      <c r="D118" s="17"/>
      <c r="E118" s="159" t="s">
        <v>3406</v>
      </c>
      <c r="F118" s="18"/>
      <c r="G118" s="18"/>
      <c r="H118" s="18"/>
      <c r="I118" s="18"/>
      <c r="J118" s="18"/>
      <c r="K118" s="159" t="s">
        <v>3327</v>
      </c>
      <c r="L118" s="18"/>
      <c r="M118" s="18"/>
      <c r="N118" s="19"/>
      <c r="T118" s="32"/>
    </row>
    <row r="119" spans="4:20" ht="15">
      <c r="D119" s="17"/>
      <c r="E119" s="348">
        <v>0</v>
      </c>
      <c r="F119" s="349"/>
      <c r="G119" s="349"/>
      <c r="H119" s="349"/>
      <c r="I119" s="350"/>
      <c r="J119" s="18"/>
      <c r="K119" s="58"/>
      <c r="L119" s="18"/>
      <c r="M119" s="18"/>
      <c r="N119" s="19"/>
      <c r="T119" s="32"/>
    </row>
    <row r="120" spans="4:20" ht="15">
      <c r="D120" s="17"/>
      <c r="E120" s="18"/>
      <c r="F120" s="18"/>
      <c r="G120" s="18"/>
      <c r="H120" s="18"/>
      <c r="I120" s="18"/>
      <c r="J120" s="18"/>
      <c r="K120" s="18"/>
      <c r="L120" s="18"/>
      <c r="M120" s="18"/>
      <c r="N120" s="19"/>
      <c r="T120" s="32"/>
    </row>
    <row r="121" spans="4:20" ht="19.5">
      <c r="D121" s="17"/>
      <c r="E121" s="188" t="s">
        <v>3407</v>
      </c>
      <c r="F121" s="18"/>
      <c r="G121" s="18"/>
      <c r="H121" s="18"/>
      <c r="I121" s="58"/>
      <c r="J121" s="18"/>
      <c r="K121" s="18"/>
      <c r="L121" s="18"/>
      <c r="M121" s="18"/>
      <c r="N121" s="19"/>
      <c r="T121" s="32"/>
    </row>
    <row r="122" spans="4:20" ht="15">
      <c r="D122" s="17"/>
      <c r="E122" s="191" t="s">
        <v>3408</v>
      </c>
      <c r="F122" s="18"/>
      <c r="G122" s="18"/>
      <c r="H122" s="18"/>
      <c r="I122" s="18"/>
      <c r="J122" s="18"/>
      <c r="K122" s="18"/>
      <c r="L122" s="18"/>
      <c r="M122" s="18"/>
      <c r="N122" s="19"/>
      <c r="T122" s="32"/>
    </row>
    <row r="123" spans="4:20" ht="15">
      <c r="D123" s="17"/>
      <c r="E123" s="18"/>
      <c r="F123" s="18"/>
      <c r="G123" s="92"/>
      <c r="H123" s="92"/>
      <c r="I123" s="92"/>
      <c r="J123" s="92"/>
      <c r="K123" s="92"/>
      <c r="L123" s="92"/>
      <c r="M123" s="92"/>
      <c r="N123" s="19"/>
      <c r="T123" s="32"/>
    </row>
    <row r="124" spans="4:20" ht="19.5">
      <c r="D124" s="17"/>
      <c r="E124" s="18"/>
      <c r="F124" s="18"/>
      <c r="G124" s="196" t="s">
        <v>3409</v>
      </c>
      <c r="H124" s="92"/>
      <c r="I124" s="284"/>
      <c r="J124" s="295"/>
      <c r="K124" s="295"/>
      <c r="L124" s="295"/>
      <c r="M124" s="285"/>
      <c r="N124" s="19"/>
      <c r="T124" s="32"/>
    </row>
    <row r="125" spans="4:20" ht="15">
      <c r="D125" s="17"/>
      <c r="E125" s="18"/>
      <c r="F125" s="18"/>
      <c r="G125" s="18"/>
      <c r="H125" s="18"/>
      <c r="I125" s="18"/>
      <c r="J125" s="18"/>
      <c r="K125" s="18"/>
      <c r="L125" s="18"/>
      <c r="M125" s="18"/>
      <c r="N125" s="19"/>
      <c r="T125" s="32"/>
    </row>
    <row r="126" spans="4:20" ht="15">
      <c r="D126" s="17"/>
      <c r="E126" s="18"/>
      <c r="F126" s="18"/>
      <c r="G126" s="18"/>
      <c r="H126" s="18"/>
      <c r="I126" s="18"/>
      <c r="J126" s="18"/>
      <c r="K126" s="18"/>
      <c r="L126" s="18"/>
      <c r="M126" s="18"/>
      <c r="N126" s="19"/>
      <c r="T126" s="32"/>
    </row>
    <row r="127" spans="4:20" ht="19.5">
      <c r="D127" s="17"/>
      <c r="E127" s="18"/>
      <c r="F127" s="159" t="s">
        <v>3260</v>
      </c>
      <c r="G127" s="18"/>
      <c r="H127" s="18"/>
      <c r="I127" s="18"/>
      <c r="J127" s="18"/>
      <c r="K127" s="18"/>
      <c r="L127" s="18"/>
      <c r="M127" s="18"/>
      <c r="N127" s="19"/>
      <c r="T127" s="32"/>
    </row>
    <row r="128" spans="4:20" ht="15">
      <c r="D128" s="17"/>
      <c r="E128" s="163"/>
      <c r="F128" s="307"/>
      <c r="G128" s="308"/>
      <c r="H128" s="308"/>
      <c r="I128" s="308"/>
      <c r="J128" s="308"/>
      <c r="K128" s="308"/>
      <c r="L128" s="308"/>
      <c r="M128" s="309"/>
      <c r="N128" s="19"/>
    </row>
    <row r="129" spans="4:26" ht="15">
      <c r="D129" s="17"/>
      <c r="E129" s="163"/>
      <c r="F129" s="310"/>
      <c r="G129" s="311"/>
      <c r="H129" s="311"/>
      <c r="I129" s="311"/>
      <c r="J129" s="311"/>
      <c r="K129" s="311"/>
      <c r="L129" s="311"/>
      <c r="M129" s="312"/>
      <c r="N129" s="19"/>
    </row>
    <row r="130" spans="4:26" ht="15">
      <c r="D130" s="17"/>
      <c r="E130" s="163"/>
      <c r="F130" s="310"/>
      <c r="G130" s="311"/>
      <c r="H130" s="311"/>
      <c r="I130" s="311"/>
      <c r="J130" s="311"/>
      <c r="K130" s="311"/>
      <c r="L130" s="311"/>
      <c r="M130" s="312"/>
      <c r="N130" s="19"/>
    </row>
    <row r="131" spans="4:26" ht="15">
      <c r="D131" s="17"/>
      <c r="E131" s="163"/>
      <c r="F131" s="310"/>
      <c r="G131" s="311"/>
      <c r="H131" s="311"/>
      <c r="I131" s="311"/>
      <c r="J131" s="311"/>
      <c r="K131" s="311"/>
      <c r="L131" s="311"/>
      <c r="M131" s="312"/>
      <c r="N131" s="19"/>
    </row>
    <row r="132" spans="4:26" ht="15">
      <c r="D132" s="17"/>
      <c r="E132" s="163"/>
      <c r="F132" s="313"/>
      <c r="G132" s="314"/>
      <c r="H132" s="314"/>
      <c r="I132" s="314"/>
      <c r="J132" s="314"/>
      <c r="K132" s="314"/>
      <c r="L132" s="314"/>
      <c r="M132" s="315"/>
      <c r="N132" s="19"/>
      <c r="T132" s="181" t="s">
        <v>3386</v>
      </c>
    </row>
    <row r="133" spans="4:26" ht="15">
      <c r="D133" s="17"/>
      <c r="E133" s="18"/>
      <c r="F133" s="18"/>
      <c r="G133" s="18"/>
      <c r="H133" s="18"/>
      <c r="I133" s="18"/>
      <c r="J133" s="18"/>
      <c r="K133" s="18"/>
      <c r="L133" s="18"/>
      <c r="M133" s="18"/>
      <c r="N133" s="19"/>
    </row>
    <row r="134" spans="4:26" ht="15">
      <c r="D134" s="17"/>
      <c r="E134" s="18"/>
      <c r="F134" s="18"/>
      <c r="G134" s="18"/>
      <c r="H134" s="18"/>
      <c r="I134" s="18"/>
      <c r="J134" s="18"/>
      <c r="K134" s="18"/>
      <c r="L134" s="18"/>
      <c r="M134" s="18"/>
      <c r="N134" s="19"/>
      <c r="T134" t="s">
        <v>3411</v>
      </c>
      <c r="U134" t="s">
        <v>3387</v>
      </c>
    </row>
    <row r="135" spans="4:26" ht="15.75" thickBot="1">
      <c r="D135" s="20"/>
      <c r="E135" s="21"/>
      <c r="F135" s="21"/>
      <c r="G135" s="21"/>
      <c r="H135" s="21"/>
      <c r="I135" s="21"/>
      <c r="J135" s="21"/>
      <c r="K135" s="21"/>
      <c r="L135" s="21"/>
      <c r="M135" s="21"/>
      <c r="N135" s="22"/>
      <c r="T135" s="177" t="s">
        <v>3365</v>
      </c>
      <c r="U135" s="177" t="s">
        <v>3364</v>
      </c>
      <c r="V135" s="177" t="s">
        <v>3361</v>
      </c>
      <c r="W135" s="177" t="s">
        <v>3362</v>
      </c>
      <c r="X135" s="177" t="s">
        <v>3385</v>
      </c>
      <c r="Y135" s="177" t="s">
        <v>3363</v>
      </c>
    </row>
    <row r="136" spans="4:26" ht="15">
      <c r="T136" s="27">
        <v>31</v>
      </c>
      <c r="U136" s="30" t="s">
        <v>3332</v>
      </c>
      <c r="V136" s="30"/>
      <c r="W136" s="27" t="s">
        <v>3283</v>
      </c>
      <c r="X136" s="27"/>
      <c r="Z136" s="32" t="s">
        <v>3277</v>
      </c>
    </row>
    <row r="137" spans="4:26" ht="15.75" thickBot="1">
      <c r="T137" s="27">
        <v>32</v>
      </c>
      <c r="U137" s="27" t="s">
        <v>3333</v>
      </c>
      <c r="V137" s="27"/>
      <c r="W137" s="27" t="s">
        <v>3274</v>
      </c>
      <c r="X137" s="27"/>
      <c r="Y137" t="s">
        <v>3337</v>
      </c>
      <c r="Z137" s="32" t="s">
        <v>3277</v>
      </c>
    </row>
    <row r="138" spans="4:26" ht="15">
      <c r="D138" s="178" t="s">
        <v>3411</v>
      </c>
      <c r="E138" s="179"/>
      <c r="F138" s="190" t="s">
        <v>3412</v>
      </c>
      <c r="G138" s="179"/>
      <c r="H138" s="179"/>
      <c r="I138" s="179"/>
      <c r="J138" s="179"/>
      <c r="K138" s="179"/>
      <c r="L138" s="179"/>
      <c r="M138" s="179"/>
      <c r="N138" s="180"/>
      <c r="T138" s="27">
        <v>33</v>
      </c>
      <c r="U138" s="27" t="s">
        <v>3336</v>
      </c>
      <c r="V138" s="27"/>
      <c r="W138" s="27" t="s">
        <v>3346</v>
      </c>
      <c r="X138" s="27" t="s">
        <v>3338</v>
      </c>
      <c r="Z138" s="32" t="s">
        <v>3277</v>
      </c>
    </row>
    <row r="139" spans="4:26" ht="15">
      <c r="D139" s="17"/>
      <c r="E139" s="18"/>
      <c r="F139" s="18"/>
      <c r="G139" s="18"/>
      <c r="H139" s="18"/>
      <c r="I139" s="18"/>
      <c r="J139" s="18"/>
      <c r="K139" s="18"/>
      <c r="L139" s="18"/>
      <c r="M139" s="18"/>
      <c r="N139" s="19"/>
      <c r="T139" s="27">
        <v>34</v>
      </c>
      <c r="U139" s="30" t="s">
        <v>3334</v>
      </c>
      <c r="V139" s="30"/>
      <c r="W139" s="27" t="s">
        <v>3283</v>
      </c>
      <c r="X139" s="27"/>
      <c r="Y139" t="s">
        <v>3335</v>
      </c>
      <c r="Z139" s="32" t="s">
        <v>3277</v>
      </c>
    </row>
    <row r="140" spans="4:26" ht="15">
      <c r="D140" s="17"/>
      <c r="E140" s="18"/>
      <c r="F140" s="18"/>
      <c r="G140" s="18"/>
      <c r="H140" s="18"/>
      <c r="I140" s="18"/>
      <c r="J140" s="18"/>
      <c r="K140" s="18"/>
      <c r="L140" s="18"/>
      <c r="M140" s="18"/>
      <c r="N140" s="19"/>
      <c r="T140" s="27">
        <v>35</v>
      </c>
      <c r="U140" s="27" t="s">
        <v>3333</v>
      </c>
      <c r="V140" s="27"/>
      <c r="W140" s="27"/>
      <c r="X140" s="27"/>
      <c r="Y140" t="s">
        <v>3337</v>
      </c>
      <c r="Z140" s="32" t="s">
        <v>3277</v>
      </c>
    </row>
    <row r="141" spans="4:26" ht="19.5">
      <c r="D141" s="17"/>
      <c r="E141" s="18"/>
      <c r="F141" s="159" t="s">
        <v>3414</v>
      </c>
      <c r="G141" s="18"/>
      <c r="H141" s="18"/>
      <c r="I141" s="18"/>
      <c r="J141" s="18"/>
      <c r="K141" s="18"/>
      <c r="L141" s="18"/>
      <c r="M141" s="18"/>
      <c r="N141" s="19"/>
      <c r="T141" s="27">
        <v>36</v>
      </c>
      <c r="U141" s="27" t="s">
        <v>3336</v>
      </c>
      <c r="V141" s="27"/>
      <c r="W141" s="27" t="s">
        <v>3346</v>
      </c>
      <c r="X141" s="27" t="s">
        <v>3338</v>
      </c>
      <c r="Z141" s="32" t="s">
        <v>3277</v>
      </c>
    </row>
    <row r="142" spans="4:26" ht="15.75">
      <c r="D142" s="17"/>
      <c r="E142" s="18"/>
      <c r="F142" s="343"/>
      <c r="G142" s="344"/>
      <c r="H142" s="344"/>
      <c r="I142" s="344"/>
      <c r="J142" s="344"/>
      <c r="K142" s="344"/>
      <c r="L142" s="344"/>
      <c r="M142" s="345"/>
      <c r="N142" s="19"/>
      <c r="T142" s="27">
        <v>37</v>
      </c>
      <c r="U142" s="30" t="s">
        <v>3260</v>
      </c>
      <c r="V142" s="27" t="s">
        <v>3428</v>
      </c>
      <c r="W142" s="27" t="s">
        <v>3287</v>
      </c>
      <c r="X142" s="27"/>
      <c r="Z142" s="32" t="s">
        <v>3277</v>
      </c>
    </row>
    <row r="143" spans="4:26" ht="20.25">
      <c r="D143" s="17"/>
      <c r="E143" s="18"/>
      <c r="F143" s="201" t="s">
        <v>3336</v>
      </c>
      <c r="G143" s="18"/>
      <c r="H143" s="18"/>
      <c r="I143" s="18"/>
      <c r="J143" s="18"/>
      <c r="K143" s="18"/>
      <c r="L143" s="202" t="s">
        <v>3333</v>
      </c>
      <c r="M143" s="18"/>
      <c r="N143" s="19"/>
      <c r="Z143" s="32" t="s">
        <v>3277</v>
      </c>
    </row>
    <row r="144" spans="4:26" ht="15.75">
      <c r="D144" s="17"/>
      <c r="E144" s="18"/>
      <c r="F144" s="343"/>
      <c r="G144" s="344"/>
      <c r="H144" s="345"/>
      <c r="I144" s="18"/>
      <c r="J144" s="18"/>
      <c r="K144" s="18"/>
      <c r="L144" s="58"/>
      <c r="M144" s="18"/>
      <c r="N144" s="19"/>
    </row>
    <row r="145" spans="4:14" ht="15">
      <c r="D145" s="17"/>
      <c r="E145" s="18"/>
      <c r="F145" s="18"/>
      <c r="G145" s="18"/>
      <c r="H145" s="18"/>
      <c r="I145" s="18"/>
      <c r="J145" s="18"/>
      <c r="K145" s="18"/>
      <c r="L145" s="18"/>
      <c r="M145" s="18"/>
      <c r="N145" s="19"/>
    </row>
    <row r="146" spans="4:14" ht="15">
      <c r="D146" s="17"/>
      <c r="E146" s="18"/>
      <c r="F146" s="18"/>
      <c r="G146" s="18"/>
      <c r="H146" s="18"/>
      <c r="I146" s="18"/>
      <c r="J146" s="18"/>
      <c r="K146" s="18"/>
      <c r="L146" s="18"/>
      <c r="M146" s="18"/>
      <c r="N146" s="19"/>
    </row>
    <row r="147" spans="4:14" ht="19.5">
      <c r="D147" s="17"/>
      <c r="E147" s="18"/>
      <c r="F147" s="159" t="s">
        <v>3415</v>
      </c>
      <c r="G147" s="18"/>
      <c r="H147" s="18"/>
      <c r="I147" s="18"/>
      <c r="J147" s="18"/>
      <c r="K147" s="18"/>
      <c r="L147" s="18"/>
      <c r="M147" s="18"/>
      <c r="N147" s="19"/>
    </row>
    <row r="148" spans="4:14" ht="15">
      <c r="D148" s="17"/>
      <c r="E148" s="18"/>
      <c r="F148" s="18"/>
      <c r="G148" s="18"/>
      <c r="H148" s="18"/>
      <c r="I148" s="18"/>
      <c r="J148" s="18"/>
      <c r="K148" s="18"/>
      <c r="L148" s="18"/>
      <c r="M148" s="18"/>
      <c r="N148" s="19"/>
    </row>
    <row r="149" spans="4:14" ht="20.25">
      <c r="D149" s="17"/>
      <c r="E149" s="18"/>
      <c r="F149" s="201" t="s">
        <v>3336</v>
      </c>
      <c r="G149" s="18"/>
      <c r="H149" s="18"/>
      <c r="I149" s="18"/>
      <c r="J149" s="18"/>
      <c r="K149" s="18"/>
      <c r="L149" s="202" t="s">
        <v>3333</v>
      </c>
      <c r="M149" s="18"/>
      <c r="N149" s="19"/>
    </row>
    <row r="150" spans="4:14" ht="15.75">
      <c r="D150" s="17"/>
      <c r="E150" s="18"/>
      <c r="F150" s="343" t="s">
        <v>3453</v>
      </c>
      <c r="G150" s="344"/>
      <c r="H150" s="345"/>
      <c r="I150" s="18"/>
      <c r="J150" s="18"/>
      <c r="K150" s="18"/>
      <c r="L150" s="58"/>
      <c r="M150" s="18"/>
      <c r="N150" s="19"/>
    </row>
    <row r="151" spans="4:14" ht="15">
      <c r="D151" s="17"/>
      <c r="E151" s="18"/>
      <c r="F151" s="18"/>
      <c r="G151" s="18"/>
      <c r="H151" s="18"/>
      <c r="I151" s="18"/>
      <c r="J151" s="18"/>
      <c r="K151" s="18"/>
      <c r="L151" s="18"/>
      <c r="M151" s="18"/>
      <c r="N151" s="19"/>
    </row>
    <row r="152" spans="4:14" ht="19.5">
      <c r="D152" s="17"/>
      <c r="E152" s="18"/>
      <c r="F152" s="159" t="s">
        <v>3260</v>
      </c>
      <c r="G152" s="18"/>
      <c r="H152" s="18"/>
      <c r="I152" s="18"/>
      <c r="J152" s="18"/>
      <c r="K152" s="18"/>
      <c r="L152" s="18"/>
      <c r="M152" s="18"/>
      <c r="N152" s="19"/>
    </row>
    <row r="153" spans="4:14" ht="15">
      <c r="D153" s="17"/>
      <c r="E153" s="18"/>
      <c r="F153" s="275"/>
      <c r="G153" s="276"/>
      <c r="H153" s="276"/>
      <c r="I153" s="276"/>
      <c r="J153" s="276"/>
      <c r="K153" s="276"/>
      <c r="L153" s="276"/>
      <c r="M153" s="277"/>
      <c r="N153" s="19"/>
    </row>
    <row r="154" spans="4:14" ht="15">
      <c r="D154" s="17"/>
      <c r="E154" s="18"/>
      <c r="F154" s="278"/>
      <c r="G154" s="279"/>
      <c r="H154" s="279"/>
      <c r="I154" s="279"/>
      <c r="J154" s="279"/>
      <c r="K154" s="279"/>
      <c r="L154" s="279"/>
      <c r="M154" s="280"/>
      <c r="N154" s="19"/>
    </row>
    <row r="155" spans="4:14" ht="15">
      <c r="D155" s="17"/>
      <c r="E155" s="18"/>
      <c r="F155" s="281"/>
      <c r="G155" s="282"/>
      <c r="H155" s="282"/>
      <c r="I155" s="282"/>
      <c r="J155" s="282"/>
      <c r="K155" s="282"/>
      <c r="L155" s="282"/>
      <c r="M155" s="283"/>
      <c r="N155" s="19"/>
    </row>
    <row r="156" spans="4:14" ht="15">
      <c r="D156" s="17"/>
      <c r="E156" s="18"/>
      <c r="F156" s="18"/>
      <c r="G156" s="18"/>
      <c r="H156" s="18"/>
      <c r="I156" s="18"/>
      <c r="J156" s="18"/>
      <c r="K156" s="18"/>
      <c r="L156" s="18"/>
      <c r="M156" s="18"/>
      <c r="N156" s="19"/>
    </row>
    <row r="157" spans="4:14" ht="15">
      <c r="D157" s="17"/>
      <c r="E157" s="18"/>
      <c r="F157" s="18"/>
      <c r="G157" s="18"/>
      <c r="H157" s="18"/>
      <c r="I157" s="18"/>
      <c r="J157" s="18"/>
      <c r="K157" s="18"/>
      <c r="L157" s="18"/>
      <c r="M157" s="18"/>
      <c r="N157" s="19"/>
    </row>
    <row r="158" spans="4:14" ht="15">
      <c r="D158" s="17"/>
      <c r="E158" s="18"/>
      <c r="F158" s="18"/>
      <c r="G158" s="18"/>
      <c r="H158" s="18"/>
      <c r="I158" s="18"/>
      <c r="J158" s="18"/>
      <c r="K158" s="18"/>
      <c r="L158" s="18"/>
      <c r="M158" s="18"/>
      <c r="N158" s="19"/>
    </row>
    <row r="159" spans="4:14" ht="14.45" hidden="1" customHeight="1">
      <c r="D159" s="17"/>
      <c r="E159" s="18"/>
      <c r="F159" s="18"/>
      <c r="G159" s="18"/>
      <c r="H159" s="18"/>
      <c r="I159" s="18"/>
      <c r="J159" s="18"/>
      <c r="K159" s="18"/>
      <c r="L159" s="18"/>
      <c r="M159" s="18"/>
      <c r="N159" s="19"/>
    </row>
    <row r="160" spans="4:14" ht="14.45" hidden="1" customHeight="1">
      <c r="D160" s="17"/>
      <c r="E160" s="18"/>
      <c r="F160" s="18"/>
      <c r="G160" s="18"/>
      <c r="H160" s="18"/>
      <c r="I160" s="18"/>
      <c r="J160" s="18"/>
      <c r="K160" s="18"/>
      <c r="L160" s="18"/>
      <c r="M160" s="18"/>
      <c r="N160" s="19"/>
    </row>
    <row r="161" spans="4:14" ht="14.45" hidden="1" customHeight="1">
      <c r="D161" s="17"/>
      <c r="E161" s="18"/>
      <c r="F161" s="18"/>
      <c r="G161" s="18"/>
      <c r="H161" s="18"/>
      <c r="I161" s="18"/>
      <c r="J161" s="18"/>
      <c r="K161" s="18"/>
      <c r="L161" s="18"/>
      <c r="M161" s="18"/>
      <c r="N161" s="19"/>
    </row>
    <row r="162" spans="4:14" ht="0" hidden="1" customHeight="1">
      <c r="D162" s="20"/>
      <c r="E162" s="21"/>
      <c r="F162" s="21"/>
      <c r="G162" s="21"/>
      <c r="H162" s="21"/>
      <c r="I162" s="21"/>
      <c r="J162" s="21"/>
      <c r="K162" s="21"/>
      <c r="L162" s="21"/>
      <c r="M162" s="21"/>
      <c r="N162" s="22"/>
    </row>
    <row r="163" spans="4:14" ht="0" hidden="1" customHeight="1"/>
    <row r="164" spans="4:14" ht="0" hidden="1" customHeight="1"/>
    <row r="165" spans="4:14" ht="0" hidden="1" customHeight="1"/>
  </sheetData>
  <mergeCells count="43">
    <mergeCell ref="AA14:AK15"/>
    <mergeCell ref="AB18:AC18"/>
    <mergeCell ref="AH18:AJ18"/>
    <mergeCell ref="AB19:AF19"/>
    <mergeCell ref="AH19:AJ19"/>
    <mergeCell ref="AB40:AI40"/>
    <mergeCell ref="I21:K21"/>
    <mergeCell ref="AB22:AF22"/>
    <mergeCell ref="AH22:AI22"/>
    <mergeCell ref="E24:L24"/>
    <mergeCell ref="AB25:AF25"/>
    <mergeCell ref="AH25:AJ25"/>
    <mergeCell ref="AB28:AI28"/>
    <mergeCell ref="E29:L33"/>
    <mergeCell ref="AB33:AC33"/>
    <mergeCell ref="AB34:AE34"/>
    <mergeCell ref="E38:I38"/>
    <mergeCell ref="E90:H90"/>
    <mergeCell ref="E41:I41"/>
    <mergeCell ref="E45:I45"/>
    <mergeCell ref="AB46:AD46"/>
    <mergeCell ref="AF46:AJ46"/>
    <mergeCell ref="E48:I48"/>
    <mergeCell ref="AB49:AJ53"/>
    <mergeCell ref="E65:G65"/>
    <mergeCell ref="E51:L51"/>
    <mergeCell ref="E80:H80"/>
    <mergeCell ref="E84:H84"/>
    <mergeCell ref="E87:H87"/>
    <mergeCell ref="E55:I55"/>
    <mergeCell ref="E59:L61"/>
    <mergeCell ref="F153:M155"/>
    <mergeCell ref="E93:L93"/>
    <mergeCell ref="E96:L96"/>
    <mergeCell ref="G103:H103"/>
    <mergeCell ref="E114:F114"/>
    <mergeCell ref="F115:M115"/>
    <mergeCell ref="E119:I119"/>
    <mergeCell ref="I124:M124"/>
    <mergeCell ref="F128:M132"/>
    <mergeCell ref="F142:M142"/>
    <mergeCell ref="F144:H144"/>
    <mergeCell ref="F150:H150"/>
  </mergeCells>
  <conditionalFormatting sqref="I21:K21">
    <cfRule type="expression" dxfId="6" priority="7">
      <formula>$V$36</formula>
    </cfRule>
  </conditionalFormatting>
  <conditionalFormatting sqref="E24:L24">
    <cfRule type="expression" dxfId="5" priority="6">
      <formula>$V$37</formula>
    </cfRule>
  </conditionalFormatting>
  <conditionalFormatting sqref="E29:L33">
    <cfRule type="expression" dxfId="4" priority="5">
      <formula>$V$38</formula>
    </cfRule>
  </conditionalFormatting>
  <conditionalFormatting sqref="E38:I38">
    <cfRule type="expression" dxfId="3" priority="4">
      <formula>$V$39</formula>
    </cfRule>
  </conditionalFormatting>
  <conditionalFormatting sqref="E45:I45">
    <cfRule type="expression" dxfId="2" priority="3">
      <formula>$V$41</formula>
    </cfRule>
  </conditionalFormatting>
  <conditionalFormatting sqref="E48:I48">
    <cfRule type="expression" dxfId="1" priority="2">
      <formula>$V$42</formula>
    </cfRule>
  </conditionalFormatting>
  <conditionalFormatting sqref="E65:G65">
    <cfRule type="expression" dxfId="0" priority="1">
      <formula>$V$43</formula>
    </cfRule>
  </conditionalFormatting>
  <dataValidations count="8">
    <dataValidation type="custom" allowBlank="1" showInputMessage="1" showErrorMessage="1" error="Max 40 UPPER CASE Character_x000a_ Format : NOUN {space} ADJECTIVE {space} ATTRIBUTE" sqref="K24:L24" xr:uid="{00000000-0002-0000-1000-000000000000}">
      <formula1>AA30</formula1>
    </dataValidation>
    <dataValidation type="custom" allowBlank="1" showInputMessage="1" showErrorMessage="1" error="Max 40 UPPER CASE Character_x000a_ Format : NOUN {space} ADJECTIVE {space} ATTRIBUTE" sqref="E24:J24" xr:uid="{00000000-0002-0000-1000-000001000000}">
      <formula1>U37</formula1>
    </dataValidation>
    <dataValidation type="custom" allowBlank="1" showInputMessage="1" showErrorMessage="1" sqref="E65:G65" xr:uid="{00000000-0002-0000-1000-000002000000}">
      <formula1>$U$43</formula1>
    </dataValidation>
    <dataValidation type="custom" allowBlank="1" showInputMessage="1" showErrorMessage="1" sqref="E29:L33" xr:uid="{00000000-0002-0000-1000-000003000000}">
      <formula1>$U$38</formula1>
    </dataValidation>
    <dataValidation type="custom" allowBlank="1" showInputMessage="1" showErrorMessage="1" error="cannot be erarlier then TODAY + 1 WEEK. _x000a_Date Format: YYYY/MM/DD" sqref="I21:K21" xr:uid="{00000000-0002-0000-1000-000004000000}">
      <formula1>U36</formula1>
    </dataValidation>
    <dataValidation type="list" allowBlank="1" showInputMessage="1" showErrorMessage="1" sqref="F144:H144 F150:H150" xr:uid="{00000000-0002-0000-1000-000005000000}">
      <formula1>"Request Subbmited, Request in Process, Request Approved, Request Denied"</formula1>
    </dataValidation>
    <dataValidation type="list" allowBlank="1" showInputMessage="1" showErrorMessage="1" sqref="K119 AG43" xr:uid="{00000000-0002-0000-1000-000006000000}">
      <formula1>"CAD, USD"</formula1>
    </dataValidation>
    <dataValidation type="list" allowBlank="1" showInputMessage="1" showErrorMessage="1" sqref="G98 G100 I121 AJ22 AD33 AB46" xr:uid="{00000000-0002-0000-1000-000007000000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defaultSize="0" autoLine="0" autoPict="0" r:id="rId5">
            <anchor moveWithCells="1">
              <from>
                <xdr:col>1</xdr:col>
                <xdr:colOff>180975</xdr:colOff>
                <xdr:row>4</xdr:row>
                <xdr:rowOff>47625</xdr:rowOff>
              </from>
              <to>
                <xdr:col>4</xdr:col>
                <xdr:colOff>171450</xdr:colOff>
                <xdr:row>6</xdr:row>
                <xdr:rowOff>142875</xdr:rowOff>
              </to>
            </anchor>
          </controlPr>
        </control>
      </mc:Choice>
      <mc:Fallback>
        <control shapeId="17409" r:id="rId4" name="CommandButton1"/>
      </mc:Fallback>
    </mc:AlternateContent>
    <mc:AlternateContent xmlns:mc="http://schemas.openxmlformats.org/markup-compatibility/2006">
      <mc:Choice Requires="x14">
        <control shapeId="17410" r:id="rId6" name="CommandButton2">
          <controlPr defaultSize="0" autoLine="0" r:id="rId7">
            <anchor moveWithCells="1">
              <from>
                <xdr:col>11</xdr:col>
                <xdr:colOff>457200</xdr:colOff>
                <xdr:row>62</xdr:row>
                <xdr:rowOff>19050</xdr:rowOff>
              </from>
              <to>
                <xdr:col>13</xdr:col>
                <xdr:colOff>390525</xdr:colOff>
                <xdr:row>63</xdr:row>
                <xdr:rowOff>200025</xdr:rowOff>
              </to>
            </anchor>
          </controlPr>
        </control>
      </mc:Choice>
      <mc:Fallback>
        <control shapeId="17410" r:id="rId6" name="CommandButton2"/>
      </mc:Fallback>
    </mc:AlternateContent>
    <mc:AlternateContent xmlns:mc="http://schemas.openxmlformats.org/markup-compatibility/2006">
      <mc:Choice Requires="x14">
        <control shapeId="17411" r:id="rId8" name="CommandButton3">
          <controlPr defaultSize="0" autoLine="0" r:id="rId9">
            <anchor moveWithCells="1">
              <from>
                <xdr:col>8</xdr:col>
                <xdr:colOff>523875</xdr:colOff>
                <xdr:row>62</xdr:row>
                <xdr:rowOff>19050</xdr:rowOff>
              </from>
              <to>
                <xdr:col>11</xdr:col>
                <xdr:colOff>295275</xdr:colOff>
                <xdr:row>63</xdr:row>
                <xdr:rowOff>209550</xdr:rowOff>
              </to>
            </anchor>
          </controlPr>
        </control>
      </mc:Choice>
      <mc:Fallback>
        <control shapeId="17411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1000-000008000000}">
          <x14:formula1>
            <xm:f>'Valuation Class'!$C:$C</xm:f>
          </x14:formula1>
          <xm:sqref>E115:F115 AB40</xm:sqref>
        </x14:dataValidation>
        <x14:dataValidation type="list" allowBlank="1" showInputMessage="1" showErrorMessage="1" xr:uid="{00000000-0002-0000-1000-000009000000}">
          <x14:formula1>
            <xm:f>'Purch Group'!$C:$C</xm:f>
          </x14:formula1>
          <xm:sqref>E96:L96 AB31:AI31</xm:sqref>
        </x14:dataValidation>
        <x14:dataValidation type="list" allowBlank="1" showInputMessage="1" showErrorMessage="1" xr:uid="{00000000-0002-0000-1000-00000A000000}">
          <x14:formula1>
            <xm:f>MatrlGroup!$C:$C</xm:f>
          </x14:formula1>
          <xm:sqref>E93:L93 AB28:AI28</xm:sqref>
        </x14:dataValidation>
        <x14:dataValidation type="list" allowBlank="1" showInputMessage="1" showErrorMessage="1" xr:uid="{00000000-0002-0000-1000-00000B000000}">
          <x14:formula1>
            <xm:f>'material Class'!$C:$C</xm:f>
          </x14:formula1>
          <xm:sqref>E51:L51 AB19</xm:sqref>
        </x14:dataValidation>
        <x14:dataValidation type="list" allowBlank="1" showInputMessage="1" showErrorMessage="1" xr:uid="{00000000-0002-0000-1000-00000C000000}">
          <x14:formula1>
            <xm:f>'Storage Location'!$C:$C</xm:f>
          </x14:formula1>
          <xm:sqref>E48</xm:sqref>
        </x14:dataValidation>
        <x14:dataValidation type="list" allowBlank="1" showInputMessage="1" showErrorMessage="1" xr:uid="{00000000-0002-0000-1000-00000D000000}">
          <x14:formula1>
            <xm:f>Plant!$C:$C</xm:f>
          </x14:formula1>
          <xm:sqref>E45</xm:sqref>
        </x14:dataValidation>
        <x14:dataValidation type="list" allowBlank="1" showInputMessage="1" showErrorMessage="1" xr:uid="{00000000-0002-0000-1000-00000E000000}">
          <x14:formula1>
            <xm:f>baseUoM!$C:$C</xm:f>
          </x14:formula1>
          <xm:sqref>E38:I38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BBC3E1-3292-414B-8B5B-E503BE080C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20</vt:i4>
      </vt:variant>
    </vt:vector>
  </HeadingPairs>
  <TitlesOfParts>
    <vt:vector size="37" baseType="lpstr">
      <vt:lpstr>Plant</vt:lpstr>
      <vt:lpstr>MatrlGroup</vt:lpstr>
      <vt:lpstr>MRP Profile</vt:lpstr>
      <vt:lpstr>MRP_type</vt:lpstr>
      <vt:lpstr>Valuation Class</vt:lpstr>
      <vt:lpstr>material Class</vt:lpstr>
      <vt:lpstr>Purch Group</vt:lpstr>
      <vt:lpstr>MRP Group</vt:lpstr>
      <vt:lpstr>Storage Location</vt:lpstr>
      <vt:lpstr>baseUoM</vt:lpstr>
      <vt:lpstr>Material Type</vt:lpstr>
      <vt:lpstr>MD State</vt:lpstr>
      <vt:lpstr>New Plant</vt:lpstr>
      <vt:lpstr>FORM for Plant</vt:lpstr>
      <vt:lpstr>Materials Form</vt:lpstr>
      <vt:lpstr>List</vt:lpstr>
      <vt:lpstr>Materials Form (2)</vt:lpstr>
      <vt:lpstr>'Materials Form (2)'!cantry2</vt:lpstr>
      <vt:lpstr>cantry2</vt:lpstr>
      <vt:lpstr>'Materials Form (2)'!CantryList</vt:lpstr>
      <vt:lpstr>CantryList</vt:lpstr>
      <vt:lpstr>'Materials Form (2)'!LocationCodeListe</vt:lpstr>
      <vt:lpstr>LocationCodeListe</vt:lpstr>
      <vt:lpstr>'Materials Form (2)'!MatirialType_list</vt:lpstr>
      <vt:lpstr>MatirialType_list</vt:lpstr>
      <vt:lpstr>'Materials Form (2)'!PlantList</vt:lpstr>
      <vt:lpstr>PlantList</vt:lpstr>
      <vt:lpstr>'Materials Form (2)'!ProvCode</vt:lpstr>
      <vt:lpstr>ProvCode</vt:lpstr>
      <vt:lpstr>'Materials Form (2)'!ProvinceList</vt:lpstr>
      <vt:lpstr>ProvinceList</vt:lpstr>
      <vt:lpstr>'Materials Form (2)'!regionnumber2</vt:lpstr>
      <vt:lpstr>regionnumber2</vt:lpstr>
      <vt:lpstr>'Materials Form (2)'!StateList</vt:lpstr>
      <vt:lpstr>StateList</vt:lpstr>
      <vt:lpstr>'Materials Form (2)'!StateList2</vt:lpstr>
      <vt:lpstr>StateList2</vt:lpstr>
    </vt:vector>
  </TitlesOfParts>
  <Company>CN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Sisca Agustine</dc:creator>
  <cp:lastModifiedBy>oma</cp:lastModifiedBy>
  <cp:lastPrinted>2019-01-14T18:27:10Z</cp:lastPrinted>
  <dcterms:created xsi:type="dcterms:W3CDTF">2019-01-14T01:19:02Z</dcterms:created>
  <dcterms:modified xsi:type="dcterms:W3CDTF">2020-08-03T22:35:59Z</dcterms:modified>
</cp:coreProperties>
</file>